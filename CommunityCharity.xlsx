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nian Charity" sheetId="1" r:id="rId3"/>
    <sheet state="visible" name="Yearly Monthly" sheetId="2" r:id="rId4"/>
    <sheet state="visible" name="Guard Salary" sheetId="3" r:id="rId5"/>
    <sheet state="visible" name="Committee" sheetId="4" r:id="rId6"/>
    <sheet state="visible" name="January 2025" sheetId="5" r:id="rId7"/>
    <sheet state="visible" name="February 2025" sheetId="6" r:id="rId8"/>
    <sheet state="visible" name="March 2025" sheetId="7" r:id="rId9"/>
    <sheet state="visible" name="April 2025" sheetId="8" r:id="rId10"/>
  </sheets>
  <definedNames>
    <definedName hidden="1" localSheetId="0" name="_xlnm._FilterDatabase">'Chunian Charity'!$A$4:$G$145</definedName>
    <definedName hidden="1" localSheetId="1" name="_xlnm._FilterDatabase">'Yearly Monthly'!$A$3:$Q$204</definedName>
    <definedName hidden="1" localSheetId="4" name="_xlnm._FilterDatabase">'January 2025'!$A$4:$G$145</definedName>
    <definedName hidden="1" localSheetId="5" name="_xlnm._FilterDatabase">'February 2025'!$A$4:$G$145</definedName>
    <definedName hidden="1" localSheetId="6" name="_xlnm._FilterDatabase">'March 2025'!$A$4:$G$145</definedName>
    <definedName hidden="1" localSheetId="7" name="_xlnm._FilterDatabase">'April 2025'!$A$4:$G$145</definedName>
  </definedNames>
  <calcPr/>
</workbook>
</file>

<file path=xl/sharedStrings.xml><?xml version="1.0" encoding="utf-8"?>
<sst xmlns="http://schemas.openxmlformats.org/spreadsheetml/2006/main" count="3416" uniqueCount="668">
  <si>
    <t>Monthly Community Charity (Division Pattoki, District Kasur, Punjab, Pakistan)</t>
  </si>
  <si>
    <t>Total Charity :</t>
  </si>
  <si>
    <t>Savings</t>
  </si>
  <si>
    <t>t</t>
  </si>
  <si>
    <t>Serial No.</t>
  </si>
  <si>
    <t>Name</t>
  </si>
  <si>
    <t>Link</t>
  </si>
  <si>
    <t>Mobile Number</t>
  </si>
  <si>
    <t>Amount</t>
  </si>
  <si>
    <t>Notes</t>
  </si>
  <si>
    <t>Expense</t>
  </si>
  <si>
    <t>Income</t>
  </si>
  <si>
    <t>Ahmed Khan</t>
  </si>
  <si>
    <t>https://wa.me/92305123456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</si>
  <si>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0405123456</t>
  </si>
  <si>
    <t>Security Guard</t>
  </si>
  <si>
    <t>Charity</t>
  </si>
  <si>
    <t>Ali Raza</t>
  </si>
  <si>
    <t>https://wa.me/92405123457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</si>
  <si>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0405123457</t>
  </si>
  <si>
    <t>Committee</t>
  </si>
  <si>
    <t>Money Box</t>
  </si>
  <si>
    <t>Sara Malik</t>
  </si>
  <si>
    <t>https://wa.me/92405123458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</si>
  <si>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0405123458</t>
  </si>
  <si>
    <t>For the Needy</t>
  </si>
  <si>
    <t>Omar Farooq</t>
  </si>
  <si>
    <t>https://wa.me/92405123459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</si>
  <si>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0405123459</t>
  </si>
  <si>
    <t>Aisha Noor</t>
  </si>
  <si>
    <t>https://wa.me/92405123460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</si>
  <si>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0405123460</t>
  </si>
  <si>
    <t>Bilal Ahmed</t>
  </si>
  <si>
    <t>https://wa.me/92405123461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</si>
  <si>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0405123461</t>
  </si>
  <si>
    <t>Hina Shah</t>
  </si>
  <si>
    <t>https://wa.me/92405123462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</si>
  <si>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0405123462</t>
  </si>
  <si>
    <t>Zain Abbas</t>
  </si>
  <si>
    <t>https://wa.me/92405123463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</si>
  <si>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0405123463</t>
  </si>
  <si>
    <t>Imran Ali</t>
  </si>
  <si>
    <t>https://wa.me/92405123464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</si>
  <si>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0405123464</t>
  </si>
  <si>
    <t>Sana Tariq</t>
  </si>
  <si>
    <t>https://wa.me/92405123465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</si>
  <si>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0405123465</t>
  </si>
  <si>
    <t>Total</t>
  </si>
  <si>
    <t>Farhan Saad</t>
  </si>
  <si>
    <t>https://wa.me/92405123466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</si>
  <si>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0405123466</t>
  </si>
  <si>
    <t>Rabia Khan</t>
  </si>
  <si>
    <t>https://wa.me/92405123467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</si>
  <si>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0405123467</t>
  </si>
  <si>
    <t>Hassan Ali</t>
  </si>
  <si>
    <t>https://wa.me/92435780945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</si>
  <si>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0435780945</t>
  </si>
  <si>
    <t>Naima Iqbal</t>
  </si>
  <si>
    <t>https://wa.me/92445609812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</si>
  <si>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0445609812</t>
  </si>
  <si>
    <t>Button to clear contents</t>
  </si>
  <si>
    <t>Usman Zafar</t>
  </si>
  <si>
    <t>https://wa.me/92408465912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</si>
  <si>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0408465912</t>
  </si>
  <si>
    <t>Maryam Asad</t>
  </si>
  <si>
    <t>https://wa.me/92419785402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</si>
  <si>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0419785402</t>
  </si>
  <si>
    <t>Asif Hanif</t>
  </si>
  <si>
    <t>https://wa.me/92425147890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</si>
  <si>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0425147890</t>
  </si>
  <si>
    <t>Adeel Khan</t>
  </si>
  <si>
    <t>https://wa.me/92431987450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</si>
  <si>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0431987450</t>
  </si>
  <si>
    <t>Iqra Shaikh</t>
  </si>
  <si>
    <t>https://wa.me/92445579012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</si>
  <si>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0445579012</t>
  </si>
  <si>
    <t>Yasir Mehmood</t>
  </si>
  <si>
    <t>https://wa.me/92404598712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</si>
  <si>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0404598712</t>
  </si>
  <si>
    <t>Sadaf Rehan</t>
  </si>
  <si>
    <t>https://wa.me/92412405897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</si>
  <si>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0412405897</t>
  </si>
  <si>
    <t>Hamza Tariq</t>
  </si>
  <si>
    <t>https://wa.me/92428165790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</si>
  <si>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0428165790</t>
  </si>
  <si>
    <t>Zoya Rehman</t>
  </si>
  <si>
    <t>https://wa.me/92434789021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</si>
  <si>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0434789021</t>
  </si>
  <si>
    <t>Adnan Nazir</t>
  </si>
  <si>
    <t>https://wa.me/92441987603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</si>
  <si>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0441987603</t>
  </si>
  <si>
    <t>Kiran Abbas</t>
  </si>
  <si>
    <t>https://wa.me/92401589476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</si>
  <si>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0401589476</t>
  </si>
  <si>
    <t>Tahir Javed</t>
  </si>
  <si>
    <t>https://wa.me/92417690458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</si>
  <si>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0417690458</t>
  </si>
  <si>
    <t>Nida Arif</t>
  </si>
  <si>
    <t>https://wa.me/92429814570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</si>
  <si>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0429814570</t>
  </si>
  <si>
    <t>Kashif Ali</t>
  </si>
  <si>
    <t>https://wa.me/92436589012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</si>
  <si>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0436589012</t>
  </si>
  <si>
    <t>Tania Reza</t>
  </si>
  <si>
    <t>https://wa.me/92447651980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</si>
  <si>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0447651980</t>
  </si>
  <si>
    <t>Shoaib Noor</t>
  </si>
  <si>
    <t>https://wa.me/92402498761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</si>
  <si>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0402498761</t>
  </si>
  <si>
    <t>Raza Ameen</t>
  </si>
  <si>
    <t>https://wa.me/92415597820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</si>
  <si>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0415597820</t>
  </si>
  <si>
    <t>Fariha Aslam</t>
  </si>
  <si>
    <t>https://wa.me/92424489710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</si>
  <si>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0424489710</t>
  </si>
  <si>
    <t>Saad Butt</t>
  </si>
  <si>
    <t>https://wa.me/92437089542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</si>
  <si>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0437089542</t>
  </si>
  <si>
    <t>Hira Saleem</t>
  </si>
  <si>
    <t>https://wa.me/92446089571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</si>
  <si>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0446089571</t>
  </si>
  <si>
    <t>Faisal Khan</t>
  </si>
  <si>
    <t>https://wa.me/92406875124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</si>
  <si>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0406875124</t>
  </si>
  <si>
    <t>Umer Shah</t>
  </si>
  <si>
    <t>https://wa.me/92419945780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</si>
  <si>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0419945780</t>
  </si>
  <si>
    <t>Maham Noor</t>
  </si>
  <si>
    <t>https://wa.me/92424457819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</si>
  <si>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0424457819</t>
  </si>
  <si>
    <t>Shahid Ali</t>
  </si>
  <si>
    <t>https://wa.me/92432198456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</si>
  <si>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0432198456</t>
  </si>
  <si>
    <t>Shazia Amir</t>
  </si>
  <si>
    <t>https://wa.me/92441789054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</si>
  <si>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0441789054</t>
  </si>
  <si>
    <t>Danish Iqbal</t>
  </si>
  <si>
    <t>https://wa.me/92409157842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</si>
  <si>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0409157842</t>
  </si>
  <si>
    <t>Rimsha Zain</t>
  </si>
  <si>
    <t>https://wa.me/92414478902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</si>
  <si>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0414478902</t>
  </si>
  <si>
    <t>Awais Raza</t>
  </si>
  <si>
    <t>https://wa.me/92423478910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</si>
  <si>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0423478910</t>
  </si>
  <si>
    <t>Mehak Khan</t>
  </si>
  <si>
    <t>https://wa.me/92435129874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</si>
  <si>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0435129874</t>
  </si>
  <si>
    <t>Haris Anwar</t>
  </si>
  <si>
    <t>https://wa.me/92447889012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</si>
  <si>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0447889012</t>
  </si>
  <si>
    <t>Samina Arif</t>
  </si>
  <si>
    <t>https://wa.me/92406678904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</si>
  <si>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0406678904</t>
  </si>
  <si>
    <t>Furqan Ali</t>
  </si>
  <si>
    <t>https://wa.me/92418204597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</si>
  <si>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0418204597</t>
  </si>
  <si>
    <t>Nedra Saeed</t>
  </si>
  <si>
    <t>https://wa.me/92425789014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</si>
  <si>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0425789014</t>
  </si>
  <si>
    <t>Jawad Khan</t>
  </si>
  <si>
    <t>https://wa.me/92438812097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</si>
  <si>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0438812097</t>
  </si>
  <si>
    <t>Mahir Abbas</t>
  </si>
  <si>
    <t>https://wa.me/92445587920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</si>
  <si>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0445587920</t>
  </si>
  <si>
    <t>Laila Ahmed</t>
  </si>
  <si>
    <t>https://wa.me/92408457910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</si>
  <si>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0408457910</t>
  </si>
  <si>
    <t>Emaan Iqbal</t>
  </si>
  <si>
    <t>https://wa.me/92417098452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</si>
  <si>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0417098452</t>
  </si>
  <si>
    <t>Zeeshan Ali</t>
  </si>
  <si>
    <t>https://wa.me/92426690871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</si>
  <si>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0426690871</t>
  </si>
  <si>
    <t>Hafsa Tariq</t>
  </si>
  <si>
    <t>https://wa.me/92437089540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</si>
  <si>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0437089540</t>
  </si>
  <si>
    <t>Shayan Rauf</t>
  </si>
  <si>
    <t>https://wa.me/92444598731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</si>
  <si>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0444598731</t>
  </si>
  <si>
    <t>Meera Shah</t>
  </si>
  <si>
    <t>https://wa.me/92401879456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</si>
  <si>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0401879456</t>
  </si>
  <si>
    <t>Arsalan Ali</t>
  </si>
  <si>
    <t>https://wa.me/92419745891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</si>
  <si>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0419745891</t>
  </si>
  <si>
    <t>Nimra Javed</t>
  </si>
  <si>
    <t>https://wa.me/92421567894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</si>
  <si>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0421567894</t>
  </si>
  <si>
    <t>Rehan Arif</t>
  </si>
  <si>
    <t>https://wa.me/92436019875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</si>
  <si>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0436019875</t>
  </si>
  <si>
    <t>Maria Noor</t>
  </si>
  <si>
    <t>https://wa.me/92441789654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</si>
  <si>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0441789654</t>
  </si>
  <si>
    <t>Saima Khan</t>
  </si>
  <si>
    <t>https://wa.me/92405098612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</si>
  <si>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0405098612</t>
  </si>
  <si>
    <t>Omar Idrees</t>
  </si>
  <si>
    <t>https://wa.me/92416789051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</si>
  <si>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0416789051</t>
  </si>
  <si>
    <t>Adeel Arif</t>
  </si>
  <si>
    <t>https://wa.me/92422918750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</si>
  <si>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0422918750</t>
  </si>
  <si>
    <t>Amina Raza</t>
  </si>
  <si>
    <t>https://wa.me/92434789651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</si>
  <si>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0434789651</t>
  </si>
  <si>
    <t>Umair Asif</t>
  </si>
  <si>
    <t>https://wa.me/92441690875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</si>
  <si>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0441690875</t>
  </si>
  <si>
    <t>Benish Noor</t>
  </si>
  <si>
    <t>https://wa.me/92404198750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</si>
  <si>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0404198750</t>
  </si>
  <si>
    <t>Wasif Khan</t>
  </si>
  <si>
    <t>https://wa.me/92415098432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</si>
  <si>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0415098432</t>
  </si>
  <si>
    <t>Esha Tariq</t>
  </si>
  <si>
    <t>https://wa.me/92421298754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</si>
  <si>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0421298754</t>
  </si>
  <si>
    <t>Taha Malik</t>
  </si>
  <si>
    <t>https://wa.me/92431657890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</si>
  <si>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0431657890</t>
  </si>
  <si>
    <t>Naila Iqbal</t>
  </si>
  <si>
    <t>https://wa.me/92445298761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</si>
  <si>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0445298761</t>
  </si>
  <si>
    <t>Zubair Ali</t>
  </si>
  <si>
    <t>https://wa.me/92403687054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</si>
  <si>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0404687054</t>
  </si>
  <si>
    <t>Hania Arif</t>
  </si>
  <si>
    <t>https://wa.me/92412789045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</si>
  <si>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0412789045</t>
  </si>
  <si>
    <t>Jibran Khan</t>
  </si>
  <si>
    <t>https://wa.me/92427689051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</si>
  <si>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0427689051</t>
  </si>
  <si>
    <t>Rida Malik</t>
  </si>
  <si>
    <t>https://wa.me/92431490782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</si>
  <si>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0431490782</t>
  </si>
  <si>
    <t>Junaid Aslam</t>
  </si>
  <si>
    <t>https://wa.me/92447905681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</si>
  <si>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0447905681</t>
  </si>
  <si>
    <t>Hadi Raza</t>
  </si>
  <si>
    <t>https://wa.me/92402087941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</si>
  <si>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0402087941</t>
  </si>
  <si>
    <t>Abeer Khan</t>
  </si>
  <si>
    <t>https://wa.me/92414905723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</si>
  <si>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0414905723</t>
  </si>
  <si>
    <t>Zainab Noor</t>
  </si>
  <si>
    <t>https://wa.me/92427401985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</si>
  <si>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0427401985</t>
  </si>
  <si>
    <t>Sameer Ali</t>
  </si>
  <si>
    <t>https://wa.me/92435801974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</si>
  <si>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0435801974</t>
  </si>
  <si>
    <t>Zara Rehan</t>
  </si>
  <si>
    <t>https://wa.me/92447850921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</si>
  <si>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0447850921</t>
  </si>
  <si>
    <t>Umar Saeed</t>
  </si>
  <si>
    <t>https://wa.me/92401598247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</si>
  <si>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0401598247</t>
  </si>
  <si>
    <t>Mahnoor Ali</t>
  </si>
  <si>
    <t>https://wa.me/92414978052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</si>
  <si>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0414978052</t>
  </si>
  <si>
    <t>Daniyal Nazir</t>
  </si>
  <si>
    <t>https://wa.me/92424690875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</si>
  <si>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0424690875</t>
  </si>
  <si>
    <t>Fatima Arif</t>
  </si>
  <si>
    <t>https://wa.me/92434601987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</si>
  <si>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0434601987</t>
  </si>
  <si>
    <t>Ahsan Raza</t>
  </si>
  <si>
    <t>https://wa.me/92445021987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</si>
  <si>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0445021987</t>
  </si>
  <si>
    <t>Lubna Noor</t>
  </si>
  <si>
    <t>https://wa.me/92409078451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</si>
  <si>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0409078451</t>
  </si>
  <si>
    <t>Fawad Khan</t>
  </si>
  <si>
    <t>https://wa.me/92415790842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</si>
  <si>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0415790842</t>
  </si>
  <si>
    <t>Ruqaiya Iqbal</t>
  </si>
  <si>
    <t>https://wa.me/92424971085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</si>
  <si>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0424971085</t>
  </si>
  <si>
    <t>Nazia Tariq</t>
  </si>
  <si>
    <t>https://wa.me/92432519804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</si>
  <si>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0432519804</t>
  </si>
  <si>
    <t>Adeel Saeed</t>
  </si>
  <si>
    <t>https://wa.me/92441279805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</si>
  <si>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0441279805</t>
  </si>
  <si>
    <t>Fiza Malik</t>
  </si>
  <si>
    <t>https://wa.me/92406078945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</si>
  <si>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0406078945</t>
  </si>
  <si>
    <t>Shoaib Arif</t>
  </si>
  <si>
    <t>https://wa.me/92412778456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</si>
  <si>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0412778456</t>
  </si>
  <si>
    <t>Uzair Khan</t>
  </si>
  <si>
    <t>https://wa.me/92421904576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</si>
  <si>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0421904576</t>
  </si>
  <si>
    <t>Sana Ahmed</t>
  </si>
  <si>
    <t>https://wa.me/92434607981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</si>
  <si>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0434607981</t>
  </si>
  <si>
    <t>Husnain Ali</t>
  </si>
  <si>
    <t>https://wa.me/92441689057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</si>
  <si>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0441689057</t>
  </si>
  <si>
    <t>Nouman Rafi</t>
  </si>
  <si>
    <t>https://wa.me/92401978453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</si>
  <si>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0401978453</t>
  </si>
  <si>
    <t>Rimsha Ali</t>
  </si>
  <si>
    <t>https://wa.me/92418970452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</si>
  <si>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0418970452</t>
  </si>
  <si>
    <t>Hasan Raza</t>
  </si>
  <si>
    <t>https://wa.me/92421598074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</si>
  <si>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0421598074</t>
  </si>
  <si>
    <t>Maira Shah</t>
  </si>
  <si>
    <t>https://wa.me/92437098541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</si>
  <si>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0437098541</t>
  </si>
  <si>
    <t>Talha Noor</t>
  </si>
  <si>
    <t>https://wa.me/92445809712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</si>
  <si>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0445809712</t>
  </si>
  <si>
    <t>Noor Javed</t>
  </si>
  <si>
    <t>https://wa.me/92402198750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</si>
  <si>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0402198750</t>
  </si>
  <si>
    <t>Sufyan Ali</t>
  </si>
  <si>
    <t>https://wa.me/92417098453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</si>
  <si>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0417098453</t>
  </si>
  <si>
    <t>Anum Reza</t>
  </si>
  <si>
    <t>https://wa.me/92425489790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</si>
  <si>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0425489790</t>
  </si>
  <si>
    <t>Arham Khan</t>
  </si>
  <si>
    <t>https://wa.me/92431987501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</si>
  <si>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0431987501</t>
  </si>
  <si>
    <t>Samra Noor</t>
  </si>
  <si>
    <t>https://wa.me/92445129870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</si>
  <si>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0445129870</t>
  </si>
  <si>
    <t>Imad Raza</t>
  </si>
  <si>
    <t>https://wa.me/92407089451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</si>
  <si>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0407089451</t>
  </si>
  <si>
    <t>Sehrish Ali</t>
  </si>
  <si>
    <t>https://wa.me/92411967543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</si>
  <si>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0411967543</t>
  </si>
  <si>
    <t>Shahroz Khan</t>
  </si>
  <si>
    <t>https://wa.me/92424987154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</si>
  <si>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0424987154</t>
  </si>
  <si>
    <t>Aisha Rauf</t>
  </si>
  <si>
    <t>https://wa.me/92434178905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</si>
  <si>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0434178905</t>
  </si>
  <si>
    <t>Zoya Shah</t>
  </si>
  <si>
    <t>https://wa.me/92445698710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</si>
  <si>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0445698710</t>
  </si>
  <si>
    <t>Arsal Ali</t>
  </si>
  <si>
    <t>https://wa.me/92402765890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</si>
  <si>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0402765890</t>
  </si>
  <si>
    <t>Sami Khan</t>
  </si>
  <si>
    <t>https://wa.me/92414987102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</si>
  <si>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0414987102</t>
  </si>
  <si>
    <t>Alina Malik</t>
  </si>
  <si>
    <t>https://wa.me/92421769804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</si>
  <si>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0421769804</t>
  </si>
  <si>
    <t>Kamran Ali</t>
  </si>
  <si>
    <t>https://wa.me/92435089764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</si>
  <si>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0435089764</t>
  </si>
  <si>
    <t>Minahil Noor</t>
  </si>
  <si>
    <t>https://wa.me/92441309854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</si>
  <si>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0441309854</t>
  </si>
  <si>
    <t>Abrar Khan</t>
  </si>
  <si>
    <t>https://wa.me/92405109874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</si>
  <si>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0405109874</t>
  </si>
  <si>
    <t>Sadaf Ali</t>
  </si>
  <si>
    <t>https://wa.me/92417098123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</si>
  <si>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0417098123</t>
  </si>
  <si>
    <t>Shan Raza</t>
  </si>
  <si>
    <t>https://wa.me/92427689012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</si>
  <si>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0427689012</t>
  </si>
  <si>
    <t>Amina Tariq</t>
  </si>
  <si>
    <t>https://wa.me/92434087651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</si>
  <si>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0434087651</t>
  </si>
  <si>
    <t>Danish Ali</t>
  </si>
  <si>
    <t>https://wa.me/92441598762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</si>
  <si>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0441598762</t>
  </si>
  <si>
    <t>Zunaira Khan</t>
  </si>
  <si>
    <t>https://wa.me/92405079812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</si>
  <si>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0405079812</t>
  </si>
  <si>
    <t>Zohair Ali</t>
  </si>
  <si>
    <t>https://wa.me/92418967451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</si>
  <si>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0418967451</t>
  </si>
  <si>
    <t>Mehreen Raza</t>
  </si>
  <si>
    <t>https://wa.me/92425187960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</si>
  <si>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0425187960</t>
  </si>
  <si>
    <t>Adeel Minhas</t>
  </si>
  <si>
    <t>https://wa.me/92436879051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</si>
  <si>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0436879051</t>
  </si>
  <si>
    <t>Faiqa Noor</t>
  </si>
  <si>
    <t>https://wa.me/92444789051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</si>
  <si>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0444789051</t>
  </si>
  <si>
    <t>Sarim Khan</t>
  </si>
  <si>
    <t>https://wa.me/92402946781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</si>
  <si>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0402946781</t>
  </si>
  <si>
    <t>Rahim Ali</t>
  </si>
  <si>
    <t>https://wa.me/92412467981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</si>
  <si>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0412467981</t>
  </si>
  <si>
    <t>Rameen Zain</t>
  </si>
  <si>
    <t>https://wa.me/92424189057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</si>
  <si>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0424189057</t>
  </si>
  <si>
    <t>Sarmad Raza</t>
  </si>
  <si>
    <t>https://wa.me/92435904871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</si>
  <si>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0435904871</t>
  </si>
  <si>
    <t>Sobia Malik</t>
  </si>
  <si>
    <t>https://wa.me/92447109854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</si>
  <si>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0447109854</t>
  </si>
  <si>
    <t>Zaryab Ali</t>
  </si>
  <si>
    <t>https://wa.me/92401765982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</si>
  <si>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0401765982</t>
  </si>
  <si>
    <t>Ramsha Noor</t>
  </si>
  <si>
    <t>https://wa.me/92416589741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</si>
  <si>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0416589741</t>
  </si>
  <si>
    <t>Javed Iqbal</t>
  </si>
  <si>
    <t>https://wa.me/92425176948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</si>
  <si>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0425176948</t>
  </si>
  <si>
    <t>Nimra Shah</t>
  </si>
  <si>
    <t>https://wa.me/92437810965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</si>
  <si>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0437810965</t>
  </si>
  <si>
    <t>Hammad Ali</t>
  </si>
  <si>
    <t>https://wa.me/92443521908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</si>
  <si>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0443521908</t>
  </si>
  <si>
    <t>Misha Khan</t>
  </si>
  <si>
    <t>https://wa.me/92405987142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</si>
  <si>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0405987142</t>
  </si>
  <si>
    <t>Faizan Raza</t>
  </si>
  <si>
    <t>https://wa.me/92412698105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</si>
  <si>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0412698105</t>
  </si>
  <si>
    <t>Fariyal Noor</t>
  </si>
  <si>
    <t>https://wa.me/92427698045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</si>
  <si>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0427698045</t>
  </si>
  <si>
    <t>Shafiq Ali</t>
  </si>
  <si>
    <t>https://wa.me/92434109874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</si>
  <si>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0434109874</t>
  </si>
  <si>
    <t>Arooba Javed</t>
  </si>
  <si>
    <t>https://wa.me/92446547812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</si>
  <si>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0446547812</t>
  </si>
  <si>
    <t>Rohan Zafar</t>
  </si>
  <si>
    <t>https://wa.me/92402957841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</si>
  <si>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0402957841</t>
  </si>
  <si>
    <t>Shanzay Ali</t>
  </si>
  <si>
    <t>https://wa.me/92412478910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</si>
  <si>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0412478910</t>
  </si>
  <si>
    <t>Adil Raza</t>
  </si>
  <si>
    <t>https://wa.me/92424197805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</si>
  <si>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0424197805</t>
  </si>
  <si>
    <t>Khadija Noor</t>
  </si>
  <si>
    <t>https://wa.me/92431598407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</si>
  <si>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0431598407</t>
  </si>
  <si>
    <t>Hamid Khan</t>
  </si>
  <si>
    <t>https://wa.me/92442198751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</si>
  <si>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0442198751</t>
  </si>
  <si>
    <t>Ahsan Tariq</t>
  </si>
  <si>
    <t>https://wa.me/92404789156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</si>
  <si>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0404789156</t>
  </si>
  <si>
    <t>Rania Shah</t>
  </si>
  <si>
    <t>https://wa.me/92415789104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</si>
  <si>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0415789104</t>
  </si>
  <si>
    <t>Huzaifa Ali</t>
  </si>
  <si>
    <t>https://wa.me/92422789514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</si>
  <si>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0422789514</t>
  </si>
  <si>
    <t>Zimal Noor</t>
  </si>
  <si>
    <t>https://wa.me/92436975104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</si>
  <si>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0436975104</t>
  </si>
  <si>
    <t>Rehan Khan</t>
  </si>
  <si>
    <t>https://wa.me/92441489752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</si>
  <si>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0441489752</t>
  </si>
  <si>
    <t>Aqsa Malik</t>
  </si>
  <si>
    <t>https://wa.me/92405178906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</si>
  <si>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0405178906</t>
  </si>
  <si>
    <t>Murtaza Ali</t>
  </si>
  <si>
    <t>https://wa.me/92416781054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</si>
  <si>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0416781054</t>
  </si>
  <si>
    <t>Sehrish Raza</t>
  </si>
  <si>
    <t>https://wa.me/92423498170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</si>
  <si>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0423498170</t>
  </si>
  <si>
    <t>Noor Fatima</t>
  </si>
  <si>
    <t>https://wa.me/92432019874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</si>
  <si>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0432019874</t>
  </si>
  <si>
    <t>Daniyal Shah</t>
  </si>
  <si>
    <t>https://wa.me/92446589712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</si>
  <si>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0446589712</t>
  </si>
  <si>
    <t>Mazhar Ali</t>
  </si>
  <si>
    <t>https://wa.me/92401879652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</si>
  <si>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0401879652</t>
  </si>
  <si>
    <t>Areeba Noor</t>
  </si>
  <si>
    <t>https://wa.me/92419587104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</si>
  <si>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0419587104</t>
  </si>
  <si>
    <t>Shaheer Ali</t>
  </si>
  <si>
    <t>https://wa.me/92425108974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</si>
  <si>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0425108974</t>
  </si>
  <si>
    <t>Iman Tariq</t>
  </si>
  <si>
    <t>https://wa.me/92434781950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</si>
  <si>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0434781950</t>
  </si>
  <si>
    <t>Aqeel Raza</t>
  </si>
  <si>
    <t>https://wa.me/92447984512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</si>
  <si>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0447984512</t>
  </si>
  <si>
    <t>Rohan Malik</t>
  </si>
  <si>
    <t>https://wa.me/92402578946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</si>
  <si>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0402578946</t>
  </si>
  <si>
    <t>Laiba Noor</t>
  </si>
  <si>
    <t>https://wa.me/92417198045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</si>
  <si>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0417198045</t>
  </si>
  <si>
    <t>Huzaifa Raza</t>
  </si>
  <si>
    <t>https://wa.me/92421805479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</si>
  <si>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0421805479</t>
  </si>
  <si>
    <t>Zayan Ali</t>
  </si>
  <si>
    <t>https://wa.me/92435178094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</si>
  <si>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0435178094</t>
  </si>
  <si>
    <t>Zainab Rafi</t>
  </si>
  <si>
    <t>https://wa.me/92441758902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</si>
  <si>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0441758902</t>
  </si>
  <si>
    <t>Hooria Shah</t>
  </si>
  <si>
    <t>https://wa.me/92406897145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</si>
  <si>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0406897145</t>
  </si>
  <si>
    <t>Sarfaraz Ali</t>
  </si>
  <si>
    <t>https://wa.me/92415904781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</si>
  <si>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0415904781</t>
  </si>
  <si>
    <t>Adeena Iqbal</t>
  </si>
  <si>
    <t>https://wa.me/92424759810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</si>
  <si>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0424759810</t>
  </si>
  <si>
    <t>Imama Noor</t>
  </si>
  <si>
    <t>https://wa.me/92434691758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</si>
  <si>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0434691758</t>
  </si>
  <si>
    <t>Rashid Ali</t>
  </si>
  <si>
    <t>https://wa.me/92442498751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</si>
  <si>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0442498751</t>
  </si>
  <si>
    <t>Zaid Ahmed</t>
  </si>
  <si>
    <t>https://wa.me/92404198756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</si>
  <si>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0404198756</t>
  </si>
  <si>
    <t>Neha Tariq</t>
  </si>
  <si>
    <t>https://wa.me/92417598142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</si>
  <si>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0417598142</t>
  </si>
  <si>
    <t>Ahsan Javed</t>
  </si>
  <si>
    <t>https://wa.me/92424689012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</si>
  <si>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0424689012</t>
  </si>
  <si>
    <t>Maira Ali</t>
  </si>
  <si>
    <t>https://wa.me/92435789041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</si>
  <si>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0435789041</t>
  </si>
  <si>
    <t>Raza Malik</t>
  </si>
  <si>
    <t>https://wa.me/92441987650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</si>
  <si>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0441987650</t>
  </si>
  <si>
    <t>Hamna Noor</t>
  </si>
  <si>
    <t>https://wa.me/92404689712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</si>
  <si>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0404689712</t>
  </si>
  <si>
    <t>Zubair Raza</t>
  </si>
  <si>
    <t>https://wa.me/92416879051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</si>
  <si>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0416879051</t>
  </si>
  <si>
    <t>Tayyaba Ali</t>
  </si>
  <si>
    <t>https://wa.me/92424189074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</si>
  <si>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0424189074</t>
  </si>
  <si>
    <t>Irfan Khan</t>
  </si>
  <si>
    <t>https://wa.me/92432905481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</si>
  <si>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0432905481</t>
  </si>
  <si>
    <t>Malaika Noor</t>
  </si>
  <si>
    <t>https://wa.me/92441789605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</si>
  <si>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0441789605</t>
  </si>
  <si>
    <t>Faraz Ali</t>
  </si>
  <si>
    <t>https://wa.me/92405198746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</si>
  <si>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0405198746</t>
  </si>
  <si>
    <t>Yusra Tariq</t>
  </si>
  <si>
    <t>https://wa.me/92411690487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</si>
  <si>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0411690487</t>
  </si>
  <si>
    <t>Fahad Khan</t>
  </si>
  <si>
    <t>https://wa.me/92424701958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</si>
  <si>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0424701958</t>
  </si>
  <si>
    <t>Maryam Raza</t>
  </si>
  <si>
    <t>https://wa.me/92434690185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</si>
  <si>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0434690185</t>
  </si>
  <si>
    <t>Taimoor Ali</t>
  </si>
  <si>
    <t>https://wa.me/92442489751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</si>
  <si>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0442489751</t>
  </si>
  <si>
    <t>Uzma Noor</t>
  </si>
  <si>
    <t>https://wa.me/92405089146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</si>
  <si>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0405089146</t>
  </si>
  <si>
    <t>Shahzaib Ali</t>
  </si>
  <si>
    <t>https://wa.me/92417805491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</si>
  <si>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0417805491</t>
  </si>
  <si>
    <t>Beenish Raza</t>
  </si>
  <si>
    <t>https://wa.me/92424987105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</si>
  <si>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0424987105</t>
  </si>
  <si>
    <t>Areej Malik</t>
  </si>
  <si>
    <t>https://wa.me/92437105894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</si>
  <si>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0437105894</t>
  </si>
  <si>
    <t>Salman Raza</t>
  </si>
  <si>
    <t>https://wa.me/92446051984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</si>
  <si>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0446051984</t>
  </si>
  <si>
    <t>Romaisa Noor</t>
  </si>
  <si>
    <t>https://wa.me/92407859142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</si>
  <si>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0407859142</t>
  </si>
  <si>
    <t>Danish Raza</t>
  </si>
  <si>
    <t>https://wa.me/92415790841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</si>
  <si>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0415790841</t>
  </si>
  <si>
    <t>Rafiq Ahmed</t>
  </si>
  <si>
    <t>https://wa.me/92421298745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</si>
  <si>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0421298745</t>
  </si>
  <si>
    <t>Zoha Iqbal</t>
  </si>
  <si>
    <t>https://wa.me/92432198054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</si>
  <si>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0432198054</t>
  </si>
  <si>
    <t>Adnan Khan</t>
  </si>
  <si>
    <t>https://wa.me/92445879102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</si>
  <si>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0445879102</t>
  </si>
  <si>
    <t>Rania Malik</t>
  </si>
  <si>
    <t>https://wa.me/92406589471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</si>
  <si>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0406589471</t>
  </si>
  <si>
    <t>Sameer Raza</t>
  </si>
  <si>
    <t>https://wa.me/92419587412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</si>
  <si>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0419587412</t>
  </si>
  <si>
    <t>Eshal Noor</t>
  </si>
  <si>
    <t>https://wa.me/92426598104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</si>
  <si>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0426598104</t>
  </si>
  <si>
    <t>Zohan Ali</t>
  </si>
  <si>
    <t>https://wa.me/92434789012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</si>
  <si>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0434789012</t>
  </si>
  <si>
    <t>Noor Aslam</t>
  </si>
  <si>
    <t>https://wa.me/92445691802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</si>
  <si>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0445691802</t>
  </si>
  <si>
    <t>Haroon Raza</t>
  </si>
  <si>
    <t>https://wa.me/92405178942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</t>
  </si>
  <si>
    <t>0405178942</t>
  </si>
  <si>
    <t xml:space="preserve">Monthly + Yearly Community Charity (Division Chunian, District Kasur, Punjab, Pakistan)
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</si>
  <si>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</si>
  <si>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</si>
  <si>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</si>
  <si>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</si>
  <si>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</si>
  <si>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</si>
  <si>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</si>
  <si>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</si>
  <si>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</si>
  <si>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</si>
  <si>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</si>
  <si>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</si>
  <si>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</t>
  </si>
  <si>
    <t>BALANCE</t>
  </si>
  <si>
    <t>Raza Shah</t>
  </si>
  <si>
    <t>Ali R. Khan</t>
  </si>
  <si>
    <t>Imran Sheikh</t>
  </si>
  <si>
    <t>Faisal Butt</t>
  </si>
  <si>
    <t>Tariq Mahmood</t>
  </si>
  <si>
    <t>Usman Malik</t>
  </si>
  <si>
    <t>Ahmed Chaudhry</t>
  </si>
  <si>
    <t>Bilal Ansari</t>
  </si>
  <si>
    <t>Omar Farooqi</t>
  </si>
  <si>
    <t>Saad Hashmi</t>
  </si>
  <si>
    <t>Zain Abassi</t>
  </si>
  <si>
    <t>Female Committee (Division Pattoki, District Kasur, Punjab, Pakistan)</t>
  </si>
  <si>
    <t>Left in August</t>
  </si>
  <si>
    <t>Left in September</t>
  </si>
  <si>
    <t>Left in November</t>
  </si>
  <si>
    <t>Chosen</t>
  </si>
  <si>
    <t>Rabia</t>
  </si>
  <si>
    <t>Rimsha</t>
  </si>
  <si>
    <t>Laila</t>
  </si>
  <si>
    <t>Zoya</t>
  </si>
  <si>
    <t>Iqra</t>
  </si>
  <si>
    <t>Hina</t>
  </si>
  <si>
    <t>Aisha</t>
  </si>
  <si>
    <t>Hira</t>
  </si>
  <si>
    <t>Samina</t>
  </si>
  <si>
    <t>Nedra</t>
  </si>
  <si>
    <t>Mehak</t>
  </si>
  <si>
    <t>Kiran</t>
  </si>
  <si>
    <t>January Community Charity (Division Pattoki, District Kasur, Punjab, Pakistan)</t>
  </si>
  <si>
    <t>Savings:</t>
  </si>
  <si>
    <t>February Community Charity (Division Pattoki, District Kasur, Punjab, Pakistan)</t>
  </si>
  <si>
    <t>Transformer and Repairs</t>
  </si>
  <si>
    <t>March Community Charity (Division Pattoki, District Kasur, Punjab, Pakistan)</t>
  </si>
  <si>
    <t>April Community Charity (Division Pattoki, District Kasur, Punjab, Pakistan)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</si>
</sst>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33">
    <font>
      <sz val="10.0"/>
      <color rgb="FF000000"/>
      <name val="Arial"/>
    </font>
    <font>
      <b/>
      <i/>
      <sz val="28.0"/>
      <color rgb="FFFFFFFF"/>
      <name val="Roboto"/>
    </font>
    <font>
      <b/>
      <i/>
      <sz val="33.0"/>
      <color rgb="FFFFFFFF"/>
      <name val="Roboto"/>
    </font>
    <font>
      <b/>
      <i/>
      <sz val="17.0"/>
      <color rgb="FFFFFFFF"/>
      <name val="Roboto"/>
    </font>
    <font>
      <b/>
      <i/>
      <sz val="19.0"/>
      <color rgb="FFFFFFFF"/>
      <name val="Roboto"/>
    </font>
    <font>
      <b/>
      <i/>
      <sz val="23.0"/>
      <color rgb="FFFFFFFF"/>
      <name val="Roboto"/>
    </font>
    <font>
      <sz val="11.0"/>
      <name val="Roboto"/>
    </font>
    <font>
      <b/>
      <sz val="17.0"/>
      <name val="Roboto"/>
    </font>
    <font>
      <color rgb="FFFFFFFF"/>
      <name val="Roboto"/>
    </font>
    <font>
      <color rgb="FF000000"/>
      <name val="Arial"/>
    </font>
    <font>
      <color rgb="FF434343"/>
      <name val="Roboto"/>
    </font>
    <font/>
    <font>
      <u/>
      <color rgb="FF434343"/>
      <name val="Roboto"/>
    </font>
    <font>
      <b/>
      <sz val="17.0"/>
      <color rgb="FF434343"/>
      <name val="Comfortaa"/>
    </font>
    <font>
      <sz val="18.0"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sz val="18.0"/>
      <color rgb="FF434343"/>
      <name val="Roboto"/>
    </font>
    <font>
      <b/>
      <sz val="17.0"/>
      <name val="Comfortaa"/>
    </font>
    <font>
      <sz val="18.0"/>
    </font>
    <font>
      <b/>
      <color rgb="FF434343"/>
      <name val="Roboto"/>
    </font>
    <font>
      <b/>
      <i/>
      <sz val="32.0"/>
      <color rgb="FFFFFFFF"/>
      <name val="Roboto"/>
    </font>
    <font>
      <sz val="11.0"/>
      <color rgb="FFFFFFFF"/>
      <name val="Roboto"/>
    </font>
    <font>
      <b/>
      <sz val="17.0"/>
      <color rgb="FFFFFFFF"/>
      <name val="Roboto"/>
    </font>
    <font>
      <b/>
      <sz val="15.0"/>
      <color rgb="FF434343"/>
      <name val="Roboto"/>
    </font>
    <font>
      <sz val="12.0"/>
      <color rgb="FF434343"/>
      <name val="Roboto"/>
    </font>
    <font>
      <sz val="15.0"/>
      <color rgb="FF000000"/>
      <name val="Roboto"/>
    </font>
    <font>
      <color rgb="FF434343"/>
      <name val="Arial"/>
    </font>
    <font>
      <b/>
      <sz val="17.0"/>
      <color rgb="FF434343"/>
      <name val="Roboto"/>
    </font>
    <font>
      <b/>
      <sz val="12.0"/>
      <color rgb="FF434343"/>
      <name val="Roboto"/>
    </font>
    <font>
      <b/>
      <sz val="12.0"/>
      <color rgb="FFFF0000"/>
      <name val="Roboto"/>
    </font>
    <font>
      <name val="Arial"/>
    </font>
  </fonts>
  <fills count="8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BB463C"/>
        <bgColor rgb="FFBB463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D85C6"/>
        <bgColor rgb="FF3D85C6"/>
      </patternFill>
    </fill>
    <fill>
      <patternFill patternType="solid">
        <fgColor rgb="FFEED1CE"/>
        <bgColor rgb="FFEED1CE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8C352D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center" readingOrder="0" vertical="bottom"/>
    </xf>
    <xf borderId="0" fillId="2" fontId="4" numFmtId="0" xfId="0" applyAlignment="1" applyFont="1">
      <alignment horizontal="right" readingOrder="0" vertical="bottom"/>
    </xf>
    <xf borderId="0" fillId="2" fontId="5" numFmtId="0" xfId="0" applyAlignment="1" applyFont="1">
      <alignment horizontal="left" readingOrder="0" vertical="bottom"/>
    </xf>
    <xf borderId="0" fillId="2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6" numFmtId="0" xfId="0" applyAlignment="1" applyFill="1" applyFont="1">
      <alignment horizontal="center" readingOrder="0" shrinkToFit="0" wrapText="0"/>
    </xf>
    <xf borderId="0" fillId="3" fontId="7" numFmtId="0" xfId="0" applyAlignment="1" applyFont="1">
      <alignment horizontal="center" readingOrder="0" shrinkToFit="0" wrapText="0"/>
    </xf>
    <xf borderId="0" fillId="3" fontId="7" numFmtId="49" xfId="0" applyAlignment="1" applyFont="1" applyNumberFormat="1">
      <alignment horizontal="center" readingOrder="0" shrinkToFit="0" wrapText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4" fontId="9" numFmtId="0" xfId="0" applyAlignment="1" applyFill="1" applyFont="1">
      <alignment readingOrder="0" shrinkToFit="0" vertical="bottom" wrapText="0"/>
    </xf>
    <xf borderId="0" fillId="4" fontId="10" numFmtId="0" xfId="0" applyAlignment="1" applyFont="1">
      <alignment horizontal="center" readingOrder="0"/>
    </xf>
    <xf borderId="0" fillId="4" fontId="11" numFmtId="0" xfId="0" applyAlignment="1" applyFont="1">
      <alignment readingOrder="0"/>
    </xf>
    <xf borderId="1" fillId="4" fontId="12" numFmtId="0" xfId="0" applyAlignment="1" applyBorder="1" applyFont="1">
      <alignment readingOrder="0" shrinkToFit="0" wrapText="0"/>
    </xf>
    <xf borderId="0" fillId="4" fontId="11" numFmtId="49" xfId="0" applyAlignment="1" applyFont="1" applyNumberFormat="1">
      <alignment readingOrder="0"/>
    </xf>
    <xf borderId="0" fillId="4" fontId="10" numFmtId="0" xfId="0" applyAlignment="1" applyFont="1">
      <alignment horizontal="left"/>
    </xf>
    <xf borderId="0" fillId="0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5" fontId="9" numFmtId="0" xfId="0" applyAlignment="1" applyFill="1" applyFont="1">
      <alignment readingOrder="0" shrinkToFit="0" vertical="bottom" wrapText="0"/>
    </xf>
    <xf borderId="0" fillId="5" fontId="10" numFmtId="0" xfId="0" applyAlignment="1" applyFont="1">
      <alignment horizontal="center" readingOrder="0"/>
    </xf>
    <xf borderId="0" fillId="5" fontId="11" numFmtId="0" xfId="0" applyAlignment="1" applyFont="1">
      <alignment readingOrder="0"/>
    </xf>
    <xf borderId="1" fillId="5" fontId="15" numFmtId="0" xfId="0" applyAlignment="1" applyBorder="1" applyFont="1">
      <alignment readingOrder="0" shrinkToFit="0" wrapText="0"/>
    </xf>
    <xf borderId="0" fillId="5" fontId="11" numFmtId="49" xfId="0" applyAlignment="1" applyFont="1" applyNumberFormat="1">
      <alignment readingOrder="0"/>
    </xf>
    <xf borderId="0" fillId="5" fontId="11" numFmtId="3" xfId="0" applyAlignment="1" applyFont="1" applyNumberFormat="1">
      <alignment readingOrder="0"/>
    </xf>
    <xf borderId="0" fillId="5" fontId="10" numFmtId="0" xfId="0" applyAlignment="1" applyFont="1">
      <alignment horizontal="left"/>
    </xf>
    <xf borderId="0" fillId="0" fontId="13" numFmtId="0" xfId="0" applyAlignment="1" applyFont="1">
      <alignment horizontal="left" readingOrder="0" shrinkToFit="0" vertical="center" wrapText="1"/>
    </xf>
    <xf borderId="0" fillId="4" fontId="11" numFmtId="3" xfId="0" applyAlignment="1" applyFont="1" applyNumberFormat="1">
      <alignment readingOrder="0"/>
    </xf>
    <xf borderId="0" fillId="0" fontId="13" numFmtId="0" xfId="0" applyAlignment="1" applyFont="1">
      <alignment horizontal="left" readingOrder="0" shrinkToFit="0" vertical="center" wrapText="0"/>
    </xf>
    <xf borderId="0" fillId="4" fontId="16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vertical="center" wrapText="1"/>
    </xf>
    <xf borderId="0" fillId="5" fontId="17" numFmtId="0" xfId="0" applyAlignment="1" applyFont="1">
      <alignment horizontal="left" readingOrder="0"/>
    </xf>
    <xf borderId="0" fillId="4" fontId="10" numFmtId="0" xfId="0" applyAlignment="1" applyFont="1">
      <alignment horizontal="left" readingOrder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1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readingOrder="0"/>
    </xf>
    <xf borderId="0" fillId="5" fontId="10" numFmtId="0" xfId="0" applyAlignment="1" applyFont="1">
      <alignment horizontal="left" readingOrder="0"/>
    </xf>
    <xf borderId="0" fillId="0" fontId="10" numFmtId="164" xfId="0" applyAlignment="1" applyFont="1" applyNumberFormat="1">
      <alignment shrinkToFit="0" wrapText="0"/>
    </xf>
    <xf borderId="0" fillId="0" fontId="10" numFmtId="0" xfId="0" applyAlignment="1" applyFont="1">
      <alignment horizontal="center" readingOrder="0"/>
    </xf>
    <xf borderId="0" fillId="0" fontId="21" numFmtId="0" xfId="0" applyAlignment="1" applyFont="1">
      <alignment horizontal="left" readingOrder="0"/>
    </xf>
    <xf borderId="0" fillId="0" fontId="10" numFmtId="49" xfId="0" applyAlignment="1" applyFont="1" applyNumberFormat="1">
      <alignment horizontal="center" readingOrder="0"/>
    </xf>
    <xf borderId="0" fillId="0" fontId="9" numFmtId="0" xfId="0" applyAlignment="1" applyFont="1">
      <alignment readingOrder="0" shrinkToFit="0" vertical="bottom" wrapText="0"/>
    </xf>
    <xf borderId="0" fillId="2" fontId="22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right" readingOrder="0" shrinkToFit="0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4" numFmtId="0" xfId="0" applyAlignment="1" applyFont="1">
      <alignment horizontal="right" readingOrder="0" shrinkToFit="0" vertical="center" wrapText="0"/>
    </xf>
    <xf borderId="0" fillId="0" fontId="24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left" readingOrder="0" shrinkToFit="0" vertical="center" wrapText="0"/>
    </xf>
    <xf borderId="0" fillId="0" fontId="26" numFmtId="3" xfId="0" applyAlignment="1" applyFont="1" applyNumberFormat="1">
      <alignment readingOrder="0" shrinkToFit="0" vertical="center" wrapText="0"/>
    </xf>
    <xf borderId="0" fillId="0" fontId="26" numFmtId="0" xfId="0" applyAlignment="1" applyFont="1">
      <alignment horizontal="right" readingOrder="0" shrinkToFit="0" vertical="center" wrapText="0"/>
    </xf>
    <xf borderId="0" fillId="0" fontId="26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left" readingOrder="0" shrinkToFit="0" vertical="center" wrapText="0"/>
    </xf>
    <xf borderId="0" fillId="0" fontId="10" numFmtId="3" xfId="0" applyAlignment="1" applyFont="1" applyNumberFormat="1">
      <alignment readingOrder="0" shrinkToFit="0" vertical="center" wrapText="0"/>
    </xf>
    <xf borderId="2" fillId="4" fontId="28" numFmtId="0" xfId="0" applyAlignment="1" applyBorder="1" applyFont="1">
      <alignment shrinkToFit="0" vertical="center" wrapText="0"/>
    </xf>
    <xf borderId="0" fillId="4" fontId="28" numFmtId="0" xfId="0" applyAlignment="1" applyFont="1">
      <alignment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26" numFmtId="3" xfId="0" applyAlignment="1" applyFont="1" applyNumberFormat="1">
      <alignment horizontal="right" readingOrder="0" shrinkToFit="0" vertical="center" wrapText="0"/>
    </xf>
    <xf borderId="0" fillId="0" fontId="26" numFmtId="0" xfId="0" applyAlignment="1" applyFont="1">
      <alignment horizontal="left" shrinkToFit="0" vertical="center" wrapText="0"/>
    </xf>
    <xf borderId="0" fillId="6" fontId="30" numFmtId="0" xfId="0" applyAlignment="1" applyFill="1" applyFont="1">
      <alignment horizontal="righ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25" numFmtId="0" xfId="0" applyAlignment="1" applyFont="1">
      <alignment horizontal="left" readingOrder="0"/>
    </xf>
    <xf borderId="3" fillId="0" fontId="31" numFmtId="0" xfId="0" applyAlignment="1" applyBorder="1" applyFont="1">
      <alignment horizontal="center" readingOrder="0" shrinkToFit="0" wrapText="0"/>
    </xf>
    <xf borderId="3" fillId="7" fontId="26" numFmtId="0" xfId="0" applyAlignment="1" applyBorder="1" applyFill="1" applyFont="1">
      <alignment horizontal="right"/>
    </xf>
    <xf borderId="3" fillId="7" fontId="26" numFmtId="0" xfId="0" applyAlignment="1" applyBorder="1" applyFont="1">
      <alignment horizontal="right" readingOrder="0"/>
    </xf>
    <xf borderId="3" fillId="6" fontId="30" numFmtId="0" xfId="0" applyAlignment="1" applyBorder="1" applyFont="1">
      <alignment horizontal="right" readingOrder="0"/>
    </xf>
    <xf borderId="0" fillId="0" fontId="10" numFmtId="0" xfId="0" applyAlignment="1" applyFont="1">
      <alignment horizontal="left" readingOrder="0"/>
    </xf>
    <xf borderId="0" fillId="0" fontId="30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right" readingOrder="0" shrinkToFit="0" vertical="center" wrapText="0"/>
    </xf>
    <xf borderId="0" fillId="0" fontId="32" numFmtId="0" xfId="0" applyAlignment="1" applyFont="1">
      <alignment vertical="bottom"/>
    </xf>
    <xf borderId="3" fillId="0" fontId="31" numFmtId="0" xfId="0" applyAlignment="1" applyBorder="1" applyFont="1">
      <alignment horizontal="center" vertical="bottom"/>
    </xf>
    <xf borderId="3" fillId="7" fontId="26" numFmtId="0" xfId="0" applyAlignment="1" applyBorder="1" applyFont="1">
      <alignment horizontal="right" readingOrder="0" vertical="bottom"/>
    </xf>
    <xf borderId="3" fillId="6" fontId="30" numFmtId="0" xfId="0" applyAlignment="1" applyBorder="1" applyFont="1">
      <alignment horizontal="right" vertical="bottom"/>
    </xf>
    <xf borderId="0" fillId="0" fontId="11" numFmtId="0" xfId="0" applyFont="1"/>
    <xf borderId="3" fillId="7" fontId="26" numFmtId="0" xfId="0" applyAlignment="1" applyBorder="1" applyFont="1">
      <alignment horizontal="right" vertical="bottom"/>
    </xf>
    <xf borderId="1" fillId="4" fontId="26" numFmtId="0" xfId="0" applyAlignment="1" applyBorder="1" applyFont="1">
      <alignment horizontal="right" shrinkToFit="0" vertical="center" wrapText="0"/>
    </xf>
    <xf borderId="1" fillId="5" fontId="26" numFmtId="0" xfId="0" applyAlignment="1" applyBorder="1" applyFont="1">
      <alignment horizontal="right" shrinkToFit="0" vertical="center" wrapText="0"/>
    </xf>
    <xf borderId="1" fillId="4" fontId="26" numFmtId="0" xfId="0" applyAlignment="1" applyBorder="1" applyFont="1">
      <alignment horizontal="righ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1" fillId="5" fontId="26" numFmtId="0" xfId="0" applyAlignment="1" applyBorder="1" applyFont="1">
      <alignment horizontal="right" shrinkToFit="0" vertical="center" wrapText="0"/>
    </xf>
    <xf borderId="1" fillId="4" fontId="26" numFmtId="0" xfId="0" applyAlignment="1" applyBorder="1" applyFont="1">
      <alignment horizontal="right" shrinkToFit="0" vertical="center" wrapText="0"/>
    </xf>
    <xf borderId="3" fillId="0" fontId="31" numFmtId="0" xfId="0" applyAlignment="1" applyBorder="1" applyFont="1">
      <alignment horizontal="center" readingOrder="0" shrinkToFit="0" vertical="center" wrapText="0"/>
    </xf>
    <xf borderId="3" fillId="7" fontId="26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shrinkToFit="0" vertical="bottom" wrapText="0"/>
    </xf>
    <xf borderId="3" fillId="0" fontId="31" numFmtId="0" xfId="0" applyAlignment="1" applyBorder="1" applyFont="1">
      <alignment horizontal="center" readingOrder="0" shrinkToFit="0" vertical="bottom" wrapText="0"/>
    </xf>
    <xf borderId="3" fillId="6" fontId="30" numFmtId="0" xfId="0" applyAlignment="1" applyBorder="1" applyFont="1">
      <alignment horizontal="right" shrinkToFit="0" vertical="bottom" wrapText="0"/>
    </xf>
    <xf borderId="0" fillId="5" fontId="9" numFmtId="0" xfId="0" applyAlignment="1" applyFont="1">
      <alignment readingOrder="0" shrinkToFit="0" vertical="bottom" wrapText="1"/>
    </xf>
  </cellXfs>
  <cellStyles count="1">
    <cellStyle xfId="0" name="Normal" builtinId="0"/>
  </cellStyles>
  <dxfs count="1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4D7F0"/>
          <bgColor rgb="FFD4D7F0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EED1CE"/>
          <bgColor rgb="FFEED1CE"/>
        </patternFill>
      </fill>
      <border/>
    </dxf>
  </dxfs>
  <tableStyles count="18">
    <tableStyle count="5" pivot="0" name="Chunian Charity-style">
      <tableStyleElement dxfId="3" type="headerRow"/>
      <tableStyleElement dxfId="4" type="firstRowStripe"/>
      <tableStyleElement dxfId="5" type="secondRowStripe"/>
      <tableStyleElement dxfId="6" type="totalRow"/>
      <tableStyleElement dxfId="7" size="0" type="wholeTable"/>
    </tableStyle>
    <tableStyle count="5" pivot="0" name="Chunian Charity-style 2">
      <tableStyleElement dxfId="8" type="headerRow"/>
      <tableStyleElement dxfId="4" type="firstRowStripe"/>
      <tableStyleElement dxfId="5" type="secondRowStripe"/>
      <tableStyleElement dxfId="9" type="totalRow"/>
      <tableStyleElement dxfId="10" size="0" type="wholeTable"/>
    </tableStyle>
    <tableStyle count="2" pivot="0" name="Chunian Charity-style 3">
      <tableStyleElement dxfId="4" type="firstRowStripe"/>
      <tableStyleElement dxfId="5" type="secondRowStripe"/>
    </tableStyle>
    <tableStyle count="5" pivot="0" name="Yearly Monthly-style">
      <tableStyleElement dxfId="11" type="headerRow"/>
      <tableStyleElement dxfId="4" type="firstRowStripe"/>
      <tableStyleElement dxfId="5" type="secondRowStripe"/>
      <tableStyleElement dxfId="12" type="totalRow"/>
      <tableStyleElement dxfId="7" size="0" type="wholeTable"/>
    </tableStyle>
    <tableStyle count="5" pivot="0" name="Guard Salary-style">
      <tableStyleElement dxfId="11" type="headerRow"/>
      <tableStyleElement dxfId="4" type="firstRowStripe"/>
      <tableStyleElement dxfId="5" type="secondRowStripe"/>
      <tableStyleElement dxfId="12" type="totalRow"/>
      <tableStyleElement dxfId="7" size="0" type="wholeTable"/>
    </tableStyle>
    <tableStyle count="4" pivot="0" name="Committee-style">
      <tableStyleElement dxfId="11" type="headerRow"/>
      <tableStyleElement dxfId="4" type="firstRowStripe"/>
      <tableStyleElement dxfId="5" type="secondRowStripe"/>
      <tableStyleElement dxfId="7" size="0" type="wholeTable"/>
    </tableStyle>
    <tableStyle count="5" pivot="0" name="January 2025-style">
      <tableStyleElement dxfId="3" type="headerRow"/>
      <tableStyleElement dxfId="4" type="firstRowStripe"/>
      <tableStyleElement dxfId="5" type="secondRowStripe"/>
      <tableStyleElement dxfId="6" type="totalRow"/>
      <tableStyleElement dxfId="7" size="0" type="wholeTable"/>
    </tableStyle>
    <tableStyle count="5" pivot="0" name="January 2025-style 2">
      <tableStyleElement dxfId="8" type="headerRow"/>
      <tableStyleElement dxfId="4" type="firstRowStripe"/>
      <tableStyleElement dxfId="5" type="secondRowStripe"/>
      <tableStyleElement dxfId="9" type="totalRow"/>
      <tableStyleElement dxfId="10" size="0" type="wholeTable"/>
    </tableStyle>
    <tableStyle count="2" pivot="0" name="January 2025-style 3">
      <tableStyleElement dxfId="4" type="firstRowStripe"/>
      <tableStyleElement dxfId="5" type="secondRowStripe"/>
    </tableStyle>
    <tableStyle count="5" pivot="0" name="February 2025-style">
      <tableStyleElement dxfId="3" type="headerRow"/>
      <tableStyleElement dxfId="4" type="firstRowStripe"/>
      <tableStyleElement dxfId="5" type="secondRowStripe"/>
      <tableStyleElement dxfId="6" type="totalRow"/>
      <tableStyleElement dxfId="7" size="0" type="wholeTable"/>
    </tableStyle>
    <tableStyle count="5" pivot="0" name="February 2025-style 2">
      <tableStyleElement dxfId="8" type="headerRow"/>
      <tableStyleElement dxfId="4" type="firstRowStripe"/>
      <tableStyleElement dxfId="5" type="secondRowStripe"/>
      <tableStyleElement dxfId="9" type="totalRow"/>
      <tableStyleElement dxfId="10" size="0" type="wholeTable"/>
    </tableStyle>
    <tableStyle count="2" pivot="0" name="February 2025-style 3">
      <tableStyleElement dxfId="4" type="firstRowStripe"/>
      <tableStyleElement dxfId="5" type="secondRowStripe"/>
    </tableStyle>
    <tableStyle count="5" pivot="0" name="March 2025-style">
      <tableStyleElement dxfId="3" type="headerRow"/>
      <tableStyleElement dxfId="4" type="firstRowStripe"/>
      <tableStyleElement dxfId="5" type="secondRowStripe"/>
      <tableStyleElement dxfId="6" type="totalRow"/>
      <tableStyleElement dxfId="7" size="0" type="wholeTable"/>
    </tableStyle>
    <tableStyle count="5" pivot="0" name="March 2025-style 2">
      <tableStyleElement dxfId="8" type="headerRow"/>
      <tableStyleElement dxfId="4" type="firstRowStripe"/>
      <tableStyleElement dxfId="5" type="secondRowStripe"/>
      <tableStyleElement dxfId="9" type="totalRow"/>
      <tableStyleElement dxfId="10" size="0" type="wholeTable"/>
    </tableStyle>
    <tableStyle count="2" pivot="0" name="March 2025-style 3">
      <tableStyleElement dxfId="4" type="firstRowStripe"/>
      <tableStyleElement dxfId="5" type="secondRowStripe"/>
    </tableStyle>
    <tableStyle count="5" pivot="0" name="April 2025-style">
      <tableStyleElement dxfId="3" type="headerRow"/>
      <tableStyleElement dxfId="4" type="firstRowStripe"/>
      <tableStyleElement dxfId="5" type="secondRowStripe"/>
      <tableStyleElement dxfId="6" type="totalRow"/>
      <tableStyleElement dxfId="7" size="0" type="wholeTable"/>
    </tableStyle>
    <tableStyle count="5" pivot="0" name="April 2025-style 2">
      <tableStyleElement dxfId="8" type="headerRow"/>
      <tableStyleElement dxfId="4" type="firstRowStripe"/>
      <tableStyleElement dxfId="5" type="secondRowStripe"/>
      <tableStyleElement dxfId="9" type="totalRow"/>
      <tableStyleElement dxfId="10" size="0" type="wholeTable"/>
    </tableStyle>
    <tableStyle count="2" pivot="0" name="April 2025-style 3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1476375</xdr:colOff>
      <xdr:row>0</xdr:row>
      <xdr:rowOff>0</xdr:rowOff>
    </xdr:from>
    <xdr:ext cx="695325" cy="6953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I4:J14" displayName="Expense_Sheet_2" name="Expense_Sheet_2" id="1">
  <tableColumns count="2">
    <tableColumn totalsRowLabel="Total" name="Expense" id="1"/>
    <tableColumn totalsRowFunction="custom" name="Amount" id="2"/>
  </tableColumns>
  <tableStyleInfo name="Chunian Charity-style" showColumnStripes="0" showFirstColumn="1" showLastColumn="1" showRowStripes="1"/>
</table>
</file>

<file path=xl/tables/table2.xml><?xml version="1.0" encoding="utf-8"?>
<table xmlns="http://schemas.openxmlformats.org/spreadsheetml/2006/main" totalsRowCount="1" ref="L4:M15" displayName="Income_Sheet_2" name="Income_Sheet_2" id="2">
  <tableColumns count="2">
    <tableColumn totalsRowLabel="Total" name="Income" id="1"/>
    <tableColumn totalsRowFunction="custom" name="Amount" id="2"/>
  </tableColumns>
  <tableStyleInfo name="Chunian Charity-style 2" showColumnStripes="0" showFirstColumn="1" showLastColumn="1" showRowStripes="1"/>
</table>
</file>

<file path=xl/tables/table3.xml><?xml version="1.0" encoding="utf-8"?>
<table xmlns="http://schemas.openxmlformats.org/spreadsheetml/2006/main" headerRowCount="0" ref="L18:M18" displayName="Table_1" name="Table_1" id="3">
  <tableColumns count="2">
    <tableColumn name="Column1" id="1"/>
    <tableColumn name="Column2" id="2"/>
  </tableColumns>
  <tableStyleInfo name="Chunian Charity-style 3" showColumnStripes="0" showFirstColumn="1" showLastColumn="1" showRowStripes="1"/>
</table>
</file>

<file path=xl/tables/table4.xml><?xml version="1.0" encoding="utf-8"?>
<table xmlns="http://schemas.openxmlformats.org/spreadsheetml/2006/main" totalsRowCount="1" ref="A3:Q204" displayName="Charity" name="Charity" id="4">
  <autoFilter ref="$A$3:$Q$204">
    <filterColumn colId="6">
      <filters>
        <filter val="0"/>
        <filter val="269100"/>
      </filters>
    </filterColumn>
  </autoFilter>
  <tableColumns count="17">
    <tableColumn name="Serial No." id="1"/>
    <tableColumn name="Name" id="2"/>
    <tableColumn name="Amount" id="3"/>
    <tableColumn totalsRowFunction="custom" name="Jan" id="4"/>
    <tableColumn totalsRowFunction="custom" name="Feb" id="5"/>
    <tableColumn totalsRowFunction="custom" name="Mar" id="6"/>
    <tableColumn totalsRowFunction="custom" name="Apr" id="7"/>
    <tableColumn totalsRowFunction="custom" name="May" id="8"/>
    <tableColumn totalsRowFunction="custom" name="Jun" id="9"/>
    <tableColumn totalsRowFunction="custom" name="Jul" id="10"/>
    <tableColumn totalsRowFunction="custom" name="Aug" id="11"/>
    <tableColumn totalsRowFunction="custom" name="Sep" id="12"/>
    <tableColumn totalsRowFunction="custom" name="Oct" id="13"/>
    <tableColumn totalsRowFunction="custom" name="Nov" id="14"/>
    <tableColumn totalsRowFunction="custom" name="Dec" id="15"/>
    <tableColumn totalsRowFunction="custom" name="Total" id="16"/>
    <tableColumn name="Notes" id="17"/>
  </tableColumns>
  <tableStyleInfo name="Yearly Monthly-style" showColumnStripes="0" showFirstColumn="1" showLastColumn="1" showRowStripes="1"/>
</table>
</file>

<file path=xl/tables/table5.xml><?xml version="1.0" encoding="utf-8"?>
<table xmlns="http://schemas.openxmlformats.org/spreadsheetml/2006/main" totalsRowCount="1" ref="A3:Q15" displayName="_" name="_" id="5">
  <tableColumns count="17">
    <tableColumn name="Serial No." id="1"/>
    <tableColumn name="Name" id="2"/>
    <tableColumn totalsRowFunction="custom" name="Amount" id="3"/>
    <tableColumn totalsRowFunction="custom" name="Jan" id="4"/>
    <tableColumn totalsRowFunction="custom" name="Feb" id="5"/>
    <tableColumn totalsRowFunction="custom" name="Mar" id="6"/>
    <tableColumn totalsRowFunction="custom" name="Apr" id="7"/>
    <tableColumn totalsRowFunction="custom" name="May" id="8"/>
    <tableColumn totalsRowFunction="custom" name="Jun" id="9"/>
    <tableColumn totalsRowFunction="custom" name="Jul" id="10"/>
    <tableColumn totalsRowFunction="custom" name="Aug" id="11"/>
    <tableColumn totalsRowFunction="custom" name="Sep" id="12"/>
    <tableColumn totalsRowFunction="custom" name="Oct" id="13"/>
    <tableColumn totalsRowFunction="custom" name="Nov" id="14"/>
    <tableColumn totalsRowFunction="custom" name="Dec" id="15"/>
    <tableColumn totalsRowFunction="custom" name="Total" id="16"/>
    <tableColumn name="Notes" id="17"/>
  </tableColumns>
  <tableStyleInfo name="Guard Salary-style" showColumnStripes="0" showFirstColumn="1" showLastColumn="1" showRowStripes="1"/>
</table>
</file>

<file path=xl/tables/table6.xml><?xml version="1.0" encoding="utf-8"?>
<table xmlns="http://schemas.openxmlformats.org/spreadsheetml/2006/main" ref="A3:O27" displayName="Table1" name="Table1" id="6">
  <tableColumns count="15">
    <tableColumn name="Serial No." id="1"/>
    <tableColumn name="Name" id="2"/>
    <tableColumn name="Jan" id="3"/>
    <tableColumn name="Feb" id="4"/>
    <tableColumn name="Mar" id="5"/>
    <tableColumn name="Apr" id="6"/>
    <tableColumn name="May" id="7"/>
    <tableColumn name="Jun" id="8"/>
    <tableColumn name="Jul" id="9"/>
    <tableColumn name="Aug" id="10"/>
    <tableColumn name="Sep" id="11"/>
    <tableColumn name="Oct" id="12"/>
    <tableColumn name="Nov" id="13"/>
    <tableColumn name="Dec" id="14"/>
    <tableColumn name="Notes" id="15"/>
  </tableColumns>
  <tableStyleInfo name="Committee-style" showColumnStripes="0" showFirstColumn="1" showLastColumn="1" showRowStripes="1"/>
</table>
</file>

<file path=xl/tables/table7.xml><?xml version="1.0" encoding="utf-8"?>
<table xmlns="http://schemas.openxmlformats.org/spreadsheetml/2006/main" totalsRowCount="1" ref="I4:J14" displayName="Expense_Sheet" name="Expense_Sheet" id="7">
  <tableColumns count="2">
    <tableColumn totalsRowLabel="Total" name="Expense" id="1"/>
    <tableColumn totalsRowFunction="custom" name="Amount" id="2"/>
  </tableColumns>
  <tableStyleInfo name="January 2025-style" showColumnStripes="0" showFirstColumn="1" showLastColumn="1" showRowStripes="1"/>
</table>
</file>

<file path=xl/tables/table8.xml><?xml version="1.0" encoding="utf-8"?>
<table xmlns="http://schemas.openxmlformats.org/spreadsheetml/2006/main" totalsRowCount="1" ref="L4:M15" displayName="Income_Sheet" name="Income_Sheet" id="8">
  <tableColumns count="2">
    <tableColumn totalsRowLabel="Total" name="Income" id="1"/>
    <tableColumn totalsRowFunction="custom" name="Amount" id="2"/>
  </tableColumns>
  <tableStyleInfo name="January 2025-style 2" showColumnStripes="0" showFirstColumn="1" showLastColumn="1" showRowStripes="1"/>
</table>
</file>

<file path=xl/tables/table9.xml><?xml version="1.0" encoding="utf-8"?>
<table xmlns="http://schemas.openxmlformats.org/spreadsheetml/2006/main" headerRowCount="0" ref="L18:M18" displayName="Table_2" name="Table_2" id="9">
  <tableColumns count="2">
    <tableColumn name="Column1" id="1"/>
    <tableColumn name="Column2" id="2"/>
  </tableColumns>
  <tableStyleInfo name="January 2025-style 3" showColumnStripes="0" showFirstColumn="1" showLastColumn="1" showRowStripes="1"/>
</table>
</file>

<file path=xl/tables/table10.xml><?xml version="1.0" encoding="utf-8"?>
<table xmlns="http://schemas.openxmlformats.org/spreadsheetml/2006/main" totalsRowCount="1" ref="I4:J14" displayName="Expense_Sheet_3" name="Expense_Sheet_3" id="10">
  <tableColumns count="2">
    <tableColumn totalsRowLabel="Total" name="Expense" id="1"/>
    <tableColumn totalsRowFunction="custom" name="Amount" id="2"/>
  </tableColumns>
  <tableStyleInfo name="February 2025-style" showColumnStripes="0" showFirstColumn="1" showLastColumn="1" showRowStripes="1"/>
</table>
</file>

<file path=xl/tables/table11.xml><?xml version="1.0" encoding="utf-8"?>
<table xmlns="http://schemas.openxmlformats.org/spreadsheetml/2006/main" totalsRowCount="1" ref="L4:M15" displayName="Income_Sheet_3" name="Income_Sheet_3" id="11">
  <tableColumns count="2">
    <tableColumn totalsRowLabel="Total" name="Income" id="1"/>
    <tableColumn totalsRowFunction="custom" name="Amount" id="2"/>
  </tableColumns>
  <tableStyleInfo name="February 2025-style 2" showColumnStripes="0" showFirstColumn="1" showLastColumn="1" showRowStripes="1"/>
</table>
</file>

<file path=xl/tables/table12.xml><?xml version="1.0" encoding="utf-8"?>
<table xmlns="http://schemas.openxmlformats.org/spreadsheetml/2006/main" headerRowCount="0" ref="L18:M18" displayName="Table_3" name="Table_3" id="12">
  <tableColumns count="2">
    <tableColumn name="Column1" id="1"/>
    <tableColumn name="Column2" id="2"/>
  </tableColumns>
  <tableStyleInfo name="February 2025-style 3" showColumnStripes="0" showFirstColumn="1" showLastColumn="1" showRowStripes="1"/>
</table>
</file>

<file path=xl/tables/table13.xml><?xml version="1.0" encoding="utf-8"?>
<table xmlns="http://schemas.openxmlformats.org/spreadsheetml/2006/main" totalsRowCount="1" ref="I4:J14" displayName="Expense_Sheet_7" name="Expense_Sheet_7" id="13">
  <tableColumns count="2">
    <tableColumn totalsRowLabel="Total" name="Expense" id="1"/>
    <tableColumn totalsRowFunction="custom" name="Amount" id="2"/>
  </tableColumns>
  <tableStyleInfo name="March 2025-style" showColumnStripes="0" showFirstColumn="1" showLastColumn="1" showRowStripes="1"/>
</table>
</file>

<file path=xl/tables/table14.xml><?xml version="1.0" encoding="utf-8"?>
<table xmlns="http://schemas.openxmlformats.org/spreadsheetml/2006/main" totalsRowCount="1" ref="L4:M15" displayName="Income_Sheet_7" name="Income_Sheet_7" id="14">
  <tableColumns count="2">
    <tableColumn totalsRowLabel="Total" name="Income" id="1"/>
    <tableColumn totalsRowFunction="custom" name="Amount" id="2"/>
  </tableColumns>
  <tableStyleInfo name="March 2025-style 2" showColumnStripes="0" showFirstColumn="1" showLastColumn="1" showRowStripes="1"/>
</table>
</file>

<file path=xl/tables/table15.xml><?xml version="1.0" encoding="utf-8"?>
<table xmlns="http://schemas.openxmlformats.org/spreadsheetml/2006/main" headerRowCount="0" ref="L18:M18" displayName="Table_4" name="Table_4" id="15">
  <tableColumns count="2">
    <tableColumn name="Column1" id="1"/>
    <tableColumn name="Column2" id="2"/>
  </tableColumns>
  <tableStyleInfo name="March 2025-style 3" showColumnStripes="0" showFirstColumn="1" showLastColumn="1" showRowStripes="1"/>
</table>
</file>

<file path=xl/tables/table16.xml><?xml version="1.0" encoding="utf-8"?>
<table xmlns="http://schemas.openxmlformats.org/spreadsheetml/2006/main" totalsRowCount="1" ref="I4:J14" displayName="Expense_Sheet_8" name="Expense_Sheet_8" id="16">
  <tableColumns count="2">
    <tableColumn totalsRowLabel="Total" name="Expense" id="1"/>
    <tableColumn totalsRowFunction="custom" name="Amount" id="2"/>
  </tableColumns>
  <tableStyleInfo name="April 2025-style" showColumnStripes="0" showFirstColumn="1" showLastColumn="1" showRowStripes="1"/>
</table>
</file>

<file path=xl/tables/table17.xml><?xml version="1.0" encoding="utf-8"?>
<table xmlns="http://schemas.openxmlformats.org/spreadsheetml/2006/main" totalsRowCount="1" ref="L4:M15" displayName="Income_Sheet_8" name="Income_Sheet_8" id="17">
  <tableColumns count="2">
    <tableColumn totalsRowLabel="Total" name="Income" id="1"/>
    <tableColumn totalsRowFunction="custom" name="Amount" id="2"/>
  </tableColumns>
  <tableStyleInfo name="April 2025-style 2" showColumnStripes="0" showFirstColumn="1" showLastColumn="1" showRowStripes="1"/>
</table>
</file>

<file path=xl/tables/table18.xml><?xml version="1.0" encoding="utf-8"?>
<table xmlns="http://schemas.openxmlformats.org/spreadsheetml/2006/main" headerRowCount="0" ref="L18:M18" displayName="Table_5" name="Table_5" id="18">
  <tableColumns count="2">
    <tableColumn name="Column1" id="1"/>
    <tableColumn name="Column2" id="2"/>
  </tableColumns>
  <tableStyleInfo name="April 2025-style 3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a.me/92309157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0" Type="http://schemas.openxmlformats.org/officeDocument/2006/relationships/hyperlink" Target="https://wa.me/92307859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2" Type="http://schemas.openxmlformats.org/officeDocument/2006/relationships/hyperlink" Target="https://wa.me/92323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1" Type="http://schemas.openxmlformats.org/officeDocument/2006/relationships/hyperlink" Target="https://wa.me/9231447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4" Type="http://schemas.openxmlformats.org/officeDocument/2006/relationships/hyperlink" Target="https://wa.me/923478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4" Type="http://schemas.openxmlformats.org/officeDocument/2006/relationships/hyperlink" Target="https://wa.me/92345879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3" Type="http://schemas.openxmlformats.org/officeDocument/2006/relationships/hyperlink" Target="https://wa.me/9233512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3" Type="http://schemas.openxmlformats.org/officeDocument/2006/relationships/hyperlink" Target="https://wa.me/92332198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6" Type="http://schemas.openxmlformats.org/officeDocument/2006/relationships/hyperlink" Target="https://wa.me/923182045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2" Type="http://schemas.openxmlformats.org/officeDocument/2006/relationships/hyperlink" Target="https://wa.me/923212987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5" Type="http://schemas.openxmlformats.org/officeDocument/2006/relationships/hyperlink" Target="https://wa.me/923066789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1" Type="http://schemas.openxmlformats.org/officeDocument/2006/relationships/hyperlink" Target="https://wa.me/92315790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8" Type="http://schemas.openxmlformats.org/officeDocument/2006/relationships/hyperlink" Target="https://wa.me/923388120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7" Type="http://schemas.openxmlformats.org/officeDocument/2006/relationships/hyperlink" Target="https://wa.me/92324987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7" Type="http://schemas.openxmlformats.org/officeDocument/2006/relationships/hyperlink" Target="https://wa.me/923257890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6" Type="http://schemas.openxmlformats.org/officeDocument/2006/relationships/hyperlink" Target="https://wa.me/923178054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5" Type="http://schemas.openxmlformats.org/officeDocument/2006/relationships/hyperlink" Target="https://wa.me/923050891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9" Type="http://schemas.openxmlformats.org/officeDocument/2006/relationships/hyperlink" Target="https://wa.me/923455879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4" Type="http://schemas.openxmlformats.org/officeDocument/2006/relationships/hyperlink" Target="https://wa.me/92342489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9" Type="http://schemas.openxmlformats.org/officeDocument/2006/relationships/hyperlink" Target="https://wa.me/9234605198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8" Type="http://schemas.openxmlformats.org/officeDocument/2006/relationships/hyperlink" Target="https://wa.me/92337105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1" Type="http://schemas.openxmlformats.org/officeDocument/2006/relationships/hyperlink" Target="https://wa.me/923155978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0" Type="http://schemas.openxmlformats.org/officeDocument/2006/relationships/hyperlink" Target="https://wa.me/923024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3" Type="http://schemas.openxmlformats.org/officeDocument/2006/relationships/hyperlink" Target="https://wa.me/923370895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3" Type="http://schemas.openxmlformats.org/officeDocument/2006/relationships/hyperlink" Target="https://wa.me/923346901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2" Type="http://schemas.openxmlformats.org/officeDocument/2006/relationships/hyperlink" Target="https://wa.me/92324489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2" Type="http://schemas.openxmlformats.org/officeDocument/2006/relationships/hyperlink" Target="https://wa.me/923247019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5" Type="http://schemas.openxmlformats.org/officeDocument/2006/relationships/hyperlink" Target="https://wa.me/9230687512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1" Type="http://schemas.openxmlformats.org/officeDocument/2006/relationships/hyperlink" Target="https://wa.me/923116904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4" Type="http://schemas.openxmlformats.org/officeDocument/2006/relationships/hyperlink" Target="https://wa.me/923460895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0" Type="http://schemas.openxmlformats.org/officeDocument/2006/relationships/hyperlink" Target="https://wa.me/923051987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7" Type="http://schemas.openxmlformats.org/officeDocument/2006/relationships/hyperlink" Target="https://wa.me/9232445781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6" Type="http://schemas.openxmlformats.org/officeDocument/2006/relationships/hyperlink" Target="https://wa.me/9231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6" Type="http://schemas.openxmlformats.org/officeDocument/2006/relationships/hyperlink" Target="https://wa.me/923199457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5" Type="http://schemas.openxmlformats.org/officeDocument/2006/relationships/hyperlink" Target="https://wa.me/923046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9" Type="http://schemas.openxmlformats.org/officeDocument/2006/relationships/hyperlink" Target="https://wa.me/92341789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4" Type="http://schemas.openxmlformats.org/officeDocument/2006/relationships/hyperlink" Target="https://wa.me/923419876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8" Type="http://schemas.openxmlformats.org/officeDocument/2006/relationships/hyperlink" Target="https://wa.me/9233219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3" Type="http://schemas.openxmlformats.org/officeDocument/2006/relationships/hyperlink" Target="https://wa.me/923357890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9" Type="http://schemas.openxmlformats.org/officeDocument/2006/relationships/hyperlink" Target="https://wa.me/923417896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8" Type="http://schemas.openxmlformats.org/officeDocument/2006/relationships/hyperlink" Target="https://wa.me/923329054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7" Type="http://schemas.openxmlformats.org/officeDocument/2006/relationships/hyperlink" Target="https://wa.me/92324189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" Type="http://schemas.openxmlformats.org/officeDocument/2006/relationships/hyperlink" Target="https://wa.me/92304598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2" Type="http://schemas.openxmlformats.org/officeDocument/2006/relationships/hyperlink" Target="https://wa.me/92328165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1" Type="http://schemas.openxmlformats.org/officeDocument/2006/relationships/hyperlink" Target="https://wa.me/923124058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4" Type="http://schemas.openxmlformats.org/officeDocument/2006/relationships/hyperlink" Target="https://wa.me/9234198760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3" Type="http://schemas.openxmlformats.org/officeDocument/2006/relationships/hyperlink" Target="https://wa.me/923347890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6" Type="http://schemas.openxmlformats.org/officeDocument/2006/relationships/hyperlink" Target="https://wa.me/92317690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5" Type="http://schemas.openxmlformats.org/officeDocument/2006/relationships/hyperlink" Target="https://wa.me/923015894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8" Type="http://schemas.openxmlformats.org/officeDocument/2006/relationships/hyperlink" Target="https://wa.me/923365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7" Type="http://schemas.openxmlformats.org/officeDocument/2006/relationships/hyperlink" Target="https://wa.me/923298145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9" Type="http://schemas.openxmlformats.org/officeDocument/2006/relationships/hyperlink" Target="https://wa.me/923476519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" Type="http://schemas.openxmlformats.org/officeDocument/2006/relationships/hyperlink" Target="https://wa.me/9230512346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" Type="http://schemas.openxmlformats.org/officeDocument/2006/relationships/hyperlink" Target="https://wa.me/923051234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" Type="http://schemas.openxmlformats.org/officeDocument/2006/relationships/hyperlink" Target="https://wa.me/92335780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" Type="http://schemas.openxmlformats.org/officeDocument/2006/relationships/hyperlink" Target="https://wa.me/9230512346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" Type="http://schemas.openxmlformats.org/officeDocument/2006/relationships/hyperlink" Target="https://wa.me/923084659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8" Type="http://schemas.openxmlformats.org/officeDocument/2006/relationships/hyperlink" Target="https://wa.me/923347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" Type="http://schemas.openxmlformats.org/officeDocument/2006/relationships/hyperlink" Target="https://wa.me/9234560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7" Type="http://schemas.openxmlformats.org/officeDocument/2006/relationships/hyperlink" Target="https://wa.me/92326598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" Type="http://schemas.openxmlformats.org/officeDocument/2006/relationships/hyperlink" Target="https://wa.me/9232514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6" Type="http://schemas.openxmlformats.org/officeDocument/2006/relationships/hyperlink" Target="https://wa.me/923195874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" Type="http://schemas.openxmlformats.org/officeDocument/2006/relationships/hyperlink" Target="https://wa.me/923197854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5" Type="http://schemas.openxmlformats.org/officeDocument/2006/relationships/hyperlink" Target="https://wa.me/923065894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" Type="http://schemas.openxmlformats.org/officeDocument/2006/relationships/hyperlink" Target="https://wa.me/9234557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" Type="http://schemas.openxmlformats.org/officeDocument/2006/relationships/hyperlink" Target="https://wa.me/923319874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9" Type="http://schemas.openxmlformats.org/officeDocument/2006/relationships/hyperlink" Target="https://wa.me/923456918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4" Type="http://schemas.openxmlformats.org/officeDocument/2006/relationships/hyperlink" Target="https://wa.me/9234502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3" Type="http://schemas.openxmlformats.org/officeDocument/2006/relationships/hyperlink" Target="https://wa.me/9233460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6" Type="http://schemas.openxmlformats.org/officeDocument/2006/relationships/hyperlink" Target="https://wa.me/92315790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5" Type="http://schemas.openxmlformats.org/officeDocument/2006/relationships/hyperlink" Target="https://wa.me/92309078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8" Type="http://schemas.openxmlformats.org/officeDocument/2006/relationships/hyperlink" Target="https://wa.me/9233251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0" Type="http://schemas.openxmlformats.org/officeDocument/2006/relationships/hyperlink" Target="https://wa.me/9230517890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7" Type="http://schemas.openxmlformats.org/officeDocument/2006/relationships/hyperlink" Target="https://wa.me/923249710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9" Type="http://schemas.openxmlformats.org/officeDocument/2006/relationships/hyperlink" Target="https://wa.me/92341279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0" Type="http://schemas.openxmlformats.org/officeDocument/2006/relationships/hyperlink" Target="https://wa.me/9230159824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2" Type="http://schemas.openxmlformats.org/officeDocument/2006/relationships/hyperlink" Target="https://wa.me/92324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1" Type="http://schemas.openxmlformats.org/officeDocument/2006/relationships/hyperlink" Target="https://wa.me/923149780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" Type="http://schemas.openxmlformats.org/officeDocument/2006/relationships/hyperlink" Target="https://wa.me/92305123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" Type="http://schemas.openxmlformats.org/officeDocument/2006/relationships/hyperlink" Target="https://wa.me/923051234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" Type="http://schemas.openxmlformats.org/officeDocument/2006/relationships/hyperlink" Target="https://wa.me/92305123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9" Type="http://schemas.openxmlformats.org/officeDocument/2006/relationships/hyperlink" Target="https://wa.me/923414897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" Type="http://schemas.openxmlformats.org/officeDocument/2006/relationships/hyperlink" Target="https://wa.me/9230512345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8" Type="http://schemas.openxmlformats.org/officeDocument/2006/relationships/hyperlink" Target="https://wa.me/92336975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" Type="http://schemas.openxmlformats.org/officeDocument/2006/relationships/hyperlink" Target="https://wa.me/923051234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3" Type="http://schemas.openxmlformats.org/officeDocument/2006/relationships/hyperlink" Target="https://wa.me/9233159840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2" Type="http://schemas.openxmlformats.org/officeDocument/2006/relationships/hyperlink" Target="https://wa.me/92324197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1" Type="http://schemas.openxmlformats.org/officeDocument/2006/relationships/hyperlink" Target="https://wa.me/92312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0" Type="http://schemas.openxmlformats.org/officeDocument/2006/relationships/hyperlink" Target="https://wa.me/92302957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" Type="http://schemas.openxmlformats.org/officeDocument/2006/relationships/hyperlink" Target="https://wa.me/923051234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7" Type="http://schemas.openxmlformats.org/officeDocument/2006/relationships/hyperlink" Target="https://wa.me/923227895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" Type="http://schemas.openxmlformats.org/officeDocument/2006/relationships/hyperlink" Target="https://wa.me/923051234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6" Type="http://schemas.openxmlformats.org/officeDocument/2006/relationships/hyperlink" Target="https://wa.me/92315789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" Type="http://schemas.openxmlformats.org/officeDocument/2006/relationships/hyperlink" Target="https://wa.me/923051234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5" Type="http://schemas.openxmlformats.org/officeDocument/2006/relationships/hyperlink" Target="https://wa.me/923047891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" Type="http://schemas.openxmlformats.org/officeDocument/2006/relationships/hyperlink" Target="https://wa.me/9230512346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4" Type="http://schemas.openxmlformats.org/officeDocument/2006/relationships/hyperlink" Target="https://wa.me/923421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3" Type="http://schemas.openxmlformats.org/officeDocument/2006/relationships/hyperlink" Target="https://wa.me/923314907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2" Type="http://schemas.openxmlformats.org/officeDocument/2006/relationships/hyperlink" Target="https://wa.me/923276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5" Type="http://schemas.openxmlformats.org/officeDocument/2006/relationships/hyperlink" Target="https://wa.me/923020879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4" Type="http://schemas.openxmlformats.org/officeDocument/2006/relationships/hyperlink" Target="https://wa.me/923479056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7" Type="http://schemas.openxmlformats.org/officeDocument/2006/relationships/hyperlink" Target="https://wa.me/923274019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6" Type="http://schemas.openxmlformats.org/officeDocument/2006/relationships/hyperlink" Target="https://wa.me/923149057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9" Type="http://schemas.openxmlformats.org/officeDocument/2006/relationships/hyperlink" Target="https://wa.me/923478509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8" Type="http://schemas.openxmlformats.org/officeDocument/2006/relationships/hyperlink" Target="https://wa.me/92335801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1" Type="http://schemas.openxmlformats.org/officeDocument/2006/relationships/hyperlink" Target="https://wa.me/92312789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0" Type="http://schemas.openxmlformats.org/officeDocument/2006/relationships/hyperlink" Target="https://wa.me/92303687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9" Type="http://schemas.openxmlformats.org/officeDocument/2006/relationships/hyperlink" Target="https://wa.me/92346547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8" Type="http://schemas.openxmlformats.org/officeDocument/2006/relationships/hyperlink" Target="https://wa.me/92334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7" Type="http://schemas.openxmlformats.org/officeDocument/2006/relationships/hyperlink" Target="https://wa.me/923276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2" Type="http://schemas.openxmlformats.org/officeDocument/2006/relationships/hyperlink" Target="https://wa.me/9232517694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1" Type="http://schemas.openxmlformats.org/officeDocument/2006/relationships/hyperlink" Target="https://wa.me/923165897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0" Type="http://schemas.openxmlformats.org/officeDocument/2006/relationships/hyperlink" Target="https://wa.me/923017659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6" Type="http://schemas.openxmlformats.org/officeDocument/2006/relationships/hyperlink" Target="https://wa.me/92312698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5" Type="http://schemas.openxmlformats.org/officeDocument/2006/relationships/hyperlink" Target="https://wa.me/92305987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4" Type="http://schemas.openxmlformats.org/officeDocument/2006/relationships/hyperlink" Target="https://wa.me/9234352190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3" Type="http://schemas.openxmlformats.org/officeDocument/2006/relationships/hyperlink" Target="https://wa.me/923378109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2" Type="http://schemas.openxmlformats.org/officeDocument/2006/relationships/hyperlink" Target="https://wa.me/9232291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1" Type="http://schemas.openxmlformats.org/officeDocument/2006/relationships/hyperlink" Target="https://wa.me/92316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4" Type="http://schemas.openxmlformats.org/officeDocument/2006/relationships/hyperlink" Target="https://wa.me/92341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3" Type="http://schemas.openxmlformats.org/officeDocument/2006/relationships/hyperlink" Target="https://wa.me/92334789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6" Type="http://schemas.openxmlformats.org/officeDocument/2006/relationships/hyperlink" Target="https://wa.me/9231509843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2" Type="http://schemas.openxmlformats.org/officeDocument/2006/relationships/hyperlink" Target="https://wa.me/92324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5" Type="http://schemas.openxmlformats.org/officeDocument/2006/relationships/hyperlink" Target="https://wa.me/92304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1" Type="http://schemas.openxmlformats.org/officeDocument/2006/relationships/hyperlink" Target="https://wa.me/92317598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8" Type="http://schemas.openxmlformats.org/officeDocument/2006/relationships/hyperlink" Target="https://wa.me/9233165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0" Type="http://schemas.openxmlformats.org/officeDocument/2006/relationships/hyperlink" Target="https://wa.me/923041987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7" Type="http://schemas.openxmlformats.org/officeDocument/2006/relationships/hyperlink" Target="https://wa.me/923212987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0" Type="http://schemas.openxmlformats.org/officeDocument/2006/relationships/hyperlink" Target="https://wa.me/923050986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5" Type="http://schemas.openxmlformats.org/officeDocument/2006/relationships/hyperlink" Target="https://wa.me/923068971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9" Type="http://schemas.openxmlformats.org/officeDocument/2006/relationships/hyperlink" Target="https://wa.me/923452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4" Type="http://schemas.openxmlformats.org/officeDocument/2006/relationships/hyperlink" Target="https://wa.me/9234175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3" Type="http://schemas.openxmlformats.org/officeDocument/2006/relationships/hyperlink" Target="https://wa.me/923351780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2" Type="http://schemas.openxmlformats.org/officeDocument/2006/relationships/hyperlink" Target="https://wa.me/9232180547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9" Type="http://schemas.openxmlformats.org/officeDocument/2006/relationships/hyperlink" Target="https://wa.me/923424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8" Type="http://schemas.openxmlformats.org/officeDocument/2006/relationships/hyperlink" Target="https://wa.me/923346917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7" Type="http://schemas.openxmlformats.org/officeDocument/2006/relationships/hyperlink" Target="https://wa.me/923247598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6" Type="http://schemas.openxmlformats.org/officeDocument/2006/relationships/hyperlink" Target="https://wa.me/92315904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1" Type="http://schemas.openxmlformats.org/officeDocument/2006/relationships/hyperlink" Target="https://wa.me/92317098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0" Type="http://schemas.openxmlformats.org/officeDocument/2006/relationships/hyperlink" Target="https://wa.me/92308457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3" Type="http://schemas.openxmlformats.org/officeDocument/2006/relationships/hyperlink" Target="https://wa.me/9233708954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2" Type="http://schemas.openxmlformats.org/officeDocument/2006/relationships/hyperlink" Target="https://wa.me/92326690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5" Type="http://schemas.openxmlformats.org/officeDocument/2006/relationships/hyperlink" Target="https://wa.me/92301879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1" Type="http://schemas.openxmlformats.org/officeDocument/2006/relationships/hyperlink" Target="https://wa.me/923171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4" Type="http://schemas.openxmlformats.org/officeDocument/2006/relationships/hyperlink" Target="https://wa.me/9234459873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0" Type="http://schemas.openxmlformats.org/officeDocument/2006/relationships/hyperlink" Target="https://wa.me/923025789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7" Type="http://schemas.openxmlformats.org/officeDocument/2006/relationships/hyperlink" Target="https://wa.me/92321567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6" Type="http://schemas.openxmlformats.org/officeDocument/2006/relationships/hyperlink" Target="https://wa.me/923197458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9" Type="http://schemas.openxmlformats.org/officeDocument/2006/relationships/hyperlink" Target="https://wa.me/923479845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9" Type="http://schemas.openxmlformats.org/officeDocument/2006/relationships/hyperlink" Target="https://wa.me/923417896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4" Type="http://schemas.openxmlformats.org/officeDocument/2006/relationships/hyperlink" Target="https://wa.me/923465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8" Type="http://schemas.openxmlformats.org/officeDocument/2006/relationships/hyperlink" Target="https://wa.me/92336019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3" Type="http://schemas.openxmlformats.org/officeDocument/2006/relationships/hyperlink" Target="https://wa.me/9233201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2" Type="http://schemas.openxmlformats.org/officeDocument/2006/relationships/hyperlink" Target="https://wa.me/923234981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1" Type="http://schemas.openxmlformats.org/officeDocument/2006/relationships/hyperlink" Target="https://wa.me/92316781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8" Type="http://schemas.openxmlformats.org/officeDocument/2006/relationships/hyperlink" Target="https://wa.me/923347819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7" Type="http://schemas.openxmlformats.org/officeDocument/2006/relationships/hyperlink" Target="https://wa.me/92325108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6" Type="http://schemas.openxmlformats.org/officeDocument/2006/relationships/hyperlink" Target="https://wa.me/92319587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5" Type="http://schemas.openxmlformats.org/officeDocument/2006/relationships/hyperlink" Target="https://wa.me/923018796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7" Type="http://schemas.openxmlformats.org/officeDocument/2006/relationships/hyperlink" Target="https://wa.me/923249871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6" Type="http://schemas.openxmlformats.org/officeDocument/2006/relationships/hyperlink" Target="https://wa.me/9231196754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5" Type="http://schemas.openxmlformats.org/officeDocument/2006/relationships/hyperlink" Target="https://wa.me/92307089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4" Type="http://schemas.openxmlformats.org/officeDocument/2006/relationships/hyperlink" Target="https://wa.me/923451298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9" Type="http://schemas.openxmlformats.org/officeDocument/2006/relationships/hyperlink" Target="https://wa.me/92345698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8" Type="http://schemas.openxmlformats.org/officeDocument/2006/relationships/hyperlink" Target="https://wa.me/923341789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3" Type="http://schemas.openxmlformats.org/officeDocument/2006/relationships/hyperlink" Target="https://wa.me/9233198750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2" Type="http://schemas.openxmlformats.org/officeDocument/2006/relationships/hyperlink" Target="https://wa.me/92325489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1" Type="http://schemas.openxmlformats.org/officeDocument/2006/relationships/hyperlink" Target="https://wa.me/9231709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0" Type="http://schemas.openxmlformats.org/officeDocument/2006/relationships/hyperlink" Target="https://wa.me/92302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9" Type="http://schemas.openxmlformats.org/officeDocument/2006/relationships/hyperlink" Target="https://wa.me/923471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8" Type="http://schemas.openxmlformats.org/officeDocument/2006/relationships/hyperlink" Target="https://wa.me/92335904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7" Type="http://schemas.openxmlformats.org/officeDocument/2006/relationships/hyperlink" Target="https://wa.me/923241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6" Type="http://schemas.openxmlformats.org/officeDocument/2006/relationships/hyperlink" Target="https://wa.me/9231246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1" Type="http://schemas.openxmlformats.org/officeDocument/2006/relationships/hyperlink" Target="https://wa.me/92318967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0" Type="http://schemas.openxmlformats.org/officeDocument/2006/relationships/hyperlink" Target="https://wa.me/9230507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5" Type="http://schemas.openxmlformats.org/officeDocument/2006/relationships/hyperlink" Target="https://wa.me/92302946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4" Type="http://schemas.openxmlformats.org/officeDocument/2006/relationships/hyperlink" Target="https://wa.me/92344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3" Type="http://schemas.openxmlformats.org/officeDocument/2006/relationships/hyperlink" Target="https://wa.me/9233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2" Type="http://schemas.openxmlformats.org/officeDocument/2006/relationships/hyperlink" Target="https://wa.me/923251879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5" Type="http://schemas.openxmlformats.org/officeDocument/2006/relationships/hyperlink" Target="https://wa.me/9230197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4" Type="http://schemas.openxmlformats.org/officeDocument/2006/relationships/hyperlink" Target="https://wa.me/923416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7" Type="http://schemas.openxmlformats.org/officeDocument/2006/relationships/hyperlink" Target="https://wa.me/92321598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6" Type="http://schemas.openxmlformats.org/officeDocument/2006/relationships/hyperlink" Target="https://wa.me/92318970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9" Type="http://schemas.openxmlformats.org/officeDocument/2006/relationships/hyperlink" Target="https://wa.me/9234580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8" Type="http://schemas.openxmlformats.org/officeDocument/2006/relationships/hyperlink" Target="https://wa.me/923370985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1" Type="http://schemas.openxmlformats.org/officeDocument/2006/relationships/hyperlink" Target="https://wa.me/9231277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0" Type="http://schemas.openxmlformats.org/officeDocument/2006/relationships/hyperlink" Target="https://wa.me/92306078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3" Type="http://schemas.openxmlformats.org/officeDocument/2006/relationships/hyperlink" Target="https://wa.me/9233460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2" Type="http://schemas.openxmlformats.org/officeDocument/2006/relationships/hyperlink" Target="https://wa.me/923219045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8" Type="http://schemas.openxmlformats.org/officeDocument/2006/relationships/hyperlink" Target="https://wa.me/92334087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7" Type="http://schemas.openxmlformats.org/officeDocument/2006/relationships/hyperlink" Target="https://wa.me/92327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6" Type="http://schemas.openxmlformats.org/officeDocument/2006/relationships/hyperlink" Target="https://wa.me/923170981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5" Type="http://schemas.openxmlformats.org/officeDocument/2006/relationships/hyperlink" Target="https://wa.me/92305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9" Type="http://schemas.openxmlformats.org/officeDocument/2006/relationships/hyperlink" Target="https://wa.me/923415987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0" Type="http://schemas.openxmlformats.org/officeDocument/2006/relationships/hyperlink" Target="https://wa.me/92302765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4" Type="http://schemas.openxmlformats.org/officeDocument/2006/relationships/hyperlink" Target="https://wa.me/923413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3" Type="http://schemas.openxmlformats.org/officeDocument/2006/relationships/hyperlink" Target="https://wa.me/923350897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2" Type="http://schemas.openxmlformats.org/officeDocument/2006/relationships/hyperlink" Target="https://wa.me/9232176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1" Type="http://schemas.openxmlformats.org/officeDocument/2006/relationships/hyperlink" Target="https://wa.me/92314987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6" Type="http://schemas.openxmlformats.org/officeDocument/2006/relationships/table" Target="../tables/table2.xml"/><Relationship Id="rId205" Type="http://schemas.openxmlformats.org/officeDocument/2006/relationships/table" Target="../tables/table1.xml"/><Relationship Id="rId207" Type="http://schemas.openxmlformats.org/officeDocument/2006/relationships/table" Target="../tables/table3.xml"/><Relationship Id="rId201" Type="http://schemas.openxmlformats.org/officeDocument/2006/relationships/drawing" Target="../drawings/drawing1.xml"/><Relationship Id="rId200" Type="http://schemas.openxmlformats.org/officeDocument/2006/relationships/hyperlink" Target="https://wa.me/923051789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a.me/92309157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0" Type="http://schemas.openxmlformats.org/officeDocument/2006/relationships/hyperlink" Target="https://wa.me/92307859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2" Type="http://schemas.openxmlformats.org/officeDocument/2006/relationships/hyperlink" Target="https://wa.me/92323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1" Type="http://schemas.openxmlformats.org/officeDocument/2006/relationships/hyperlink" Target="https://wa.me/9231447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4" Type="http://schemas.openxmlformats.org/officeDocument/2006/relationships/hyperlink" Target="https://wa.me/923478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4" Type="http://schemas.openxmlformats.org/officeDocument/2006/relationships/hyperlink" Target="https://wa.me/92345879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3" Type="http://schemas.openxmlformats.org/officeDocument/2006/relationships/hyperlink" Target="https://wa.me/9233512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3" Type="http://schemas.openxmlformats.org/officeDocument/2006/relationships/hyperlink" Target="https://wa.me/92332198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6" Type="http://schemas.openxmlformats.org/officeDocument/2006/relationships/hyperlink" Target="https://wa.me/923182045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2" Type="http://schemas.openxmlformats.org/officeDocument/2006/relationships/hyperlink" Target="https://wa.me/923212987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5" Type="http://schemas.openxmlformats.org/officeDocument/2006/relationships/hyperlink" Target="https://wa.me/923066789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1" Type="http://schemas.openxmlformats.org/officeDocument/2006/relationships/hyperlink" Target="https://wa.me/92315790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8" Type="http://schemas.openxmlformats.org/officeDocument/2006/relationships/hyperlink" Target="https://wa.me/923388120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7" Type="http://schemas.openxmlformats.org/officeDocument/2006/relationships/hyperlink" Target="https://wa.me/92324987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7" Type="http://schemas.openxmlformats.org/officeDocument/2006/relationships/hyperlink" Target="https://wa.me/923257890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6" Type="http://schemas.openxmlformats.org/officeDocument/2006/relationships/hyperlink" Target="https://wa.me/923178054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5" Type="http://schemas.openxmlformats.org/officeDocument/2006/relationships/hyperlink" Target="https://wa.me/923050891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9" Type="http://schemas.openxmlformats.org/officeDocument/2006/relationships/hyperlink" Target="https://wa.me/923455879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4" Type="http://schemas.openxmlformats.org/officeDocument/2006/relationships/hyperlink" Target="https://wa.me/92342489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9" Type="http://schemas.openxmlformats.org/officeDocument/2006/relationships/hyperlink" Target="https://wa.me/9234605198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8" Type="http://schemas.openxmlformats.org/officeDocument/2006/relationships/hyperlink" Target="https://wa.me/92337105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1" Type="http://schemas.openxmlformats.org/officeDocument/2006/relationships/hyperlink" Target="https://wa.me/923155978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0" Type="http://schemas.openxmlformats.org/officeDocument/2006/relationships/hyperlink" Target="https://wa.me/923024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3" Type="http://schemas.openxmlformats.org/officeDocument/2006/relationships/hyperlink" Target="https://wa.me/923370895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3" Type="http://schemas.openxmlformats.org/officeDocument/2006/relationships/hyperlink" Target="https://wa.me/923346901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2" Type="http://schemas.openxmlformats.org/officeDocument/2006/relationships/hyperlink" Target="https://wa.me/92324489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2" Type="http://schemas.openxmlformats.org/officeDocument/2006/relationships/hyperlink" Target="https://wa.me/923247019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5" Type="http://schemas.openxmlformats.org/officeDocument/2006/relationships/hyperlink" Target="https://wa.me/9230687512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1" Type="http://schemas.openxmlformats.org/officeDocument/2006/relationships/hyperlink" Target="https://wa.me/923116904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4" Type="http://schemas.openxmlformats.org/officeDocument/2006/relationships/hyperlink" Target="https://wa.me/923460895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0" Type="http://schemas.openxmlformats.org/officeDocument/2006/relationships/hyperlink" Target="https://wa.me/923051987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7" Type="http://schemas.openxmlformats.org/officeDocument/2006/relationships/hyperlink" Target="https://wa.me/9232445781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6" Type="http://schemas.openxmlformats.org/officeDocument/2006/relationships/hyperlink" Target="https://wa.me/9231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6" Type="http://schemas.openxmlformats.org/officeDocument/2006/relationships/hyperlink" Target="https://wa.me/923199457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5" Type="http://schemas.openxmlformats.org/officeDocument/2006/relationships/hyperlink" Target="https://wa.me/923046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9" Type="http://schemas.openxmlformats.org/officeDocument/2006/relationships/hyperlink" Target="https://wa.me/92341789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4" Type="http://schemas.openxmlformats.org/officeDocument/2006/relationships/hyperlink" Target="https://wa.me/923419876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8" Type="http://schemas.openxmlformats.org/officeDocument/2006/relationships/hyperlink" Target="https://wa.me/9233219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3" Type="http://schemas.openxmlformats.org/officeDocument/2006/relationships/hyperlink" Target="https://wa.me/923357890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9" Type="http://schemas.openxmlformats.org/officeDocument/2006/relationships/hyperlink" Target="https://wa.me/923417896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8" Type="http://schemas.openxmlformats.org/officeDocument/2006/relationships/hyperlink" Target="https://wa.me/923329054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7" Type="http://schemas.openxmlformats.org/officeDocument/2006/relationships/hyperlink" Target="https://wa.me/92324189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" Type="http://schemas.openxmlformats.org/officeDocument/2006/relationships/hyperlink" Target="https://wa.me/92304598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2" Type="http://schemas.openxmlformats.org/officeDocument/2006/relationships/hyperlink" Target="https://wa.me/92328165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1" Type="http://schemas.openxmlformats.org/officeDocument/2006/relationships/hyperlink" Target="https://wa.me/923124058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4" Type="http://schemas.openxmlformats.org/officeDocument/2006/relationships/hyperlink" Target="https://wa.me/9234198760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3" Type="http://schemas.openxmlformats.org/officeDocument/2006/relationships/hyperlink" Target="https://wa.me/923347890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6" Type="http://schemas.openxmlformats.org/officeDocument/2006/relationships/hyperlink" Target="https://wa.me/92317690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5" Type="http://schemas.openxmlformats.org/officeDocument/2006/relationships/hyperlink" Target="https://wa.me/923015894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8" Type="http://schemas.openxmlformats.org/officeDocument/2006/relationships/hyperlink" Target="https://wa.me/923365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7" Type="http://schemas.openxmlformats.org/officeDocument/2006/relationships/hyperlink" Target="https://wa.me/923298145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9" Type="http://schemas.openxmlformats.org/officeDocument/2006/relationships/hyperlink" Target="https://wa.me/923476519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" Type="http://schemas.openxmlformats.org/officeDocument/2006/relationships/hyperlink" Target="https://wa.me/9230512346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" Type="http://schemas.openxmlformats.org/officeDocument/2006/relationships/hyperlink" Target="https://wa.me/923051234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" Type="http://schemas.openxmlformats.org/officeDocument/2006/relationships/hyperlink" Target="https://wa.me/92335780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" Type="http://schemas.openxmlformats.org/officeDocument/2006/relationships/hyperlink" Target="https://wa.me/9230512346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" Type="http://schemas.openxmlformats.org/officeDocument/2006/relationships/hyperlink" Target="https://wa.me/923084659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8" Type="http://schemas.openxmlformats.org/officeDocument/2006/relationships/hyperlink" Target="https://wa.me/923347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" Type="http://schemas.openxmlformats.org/officeDocument/2006/relationships/hyperlink" Target="https://wa.me/9234560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7" Type="http://schemas.openxmlformats.org/officeDocument/2006/relationships/hyperlink" Target="https://wa.me/92326598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" Type="http://schemas.openxmlformats.org/officeDocument/2006/relationships/hyperlink" Target="https://wa.me/9232514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6" Type="http://schemas.openxmlformats.org/officeDocument/2006/relationships/hyperlink" Target="https://wa.me/923195874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" Type="http://schemas.openxmlformats.org/officeDocument/2006/relationships/hyperlink" Target="https://wa.me/923197854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5" Type="http://schemas.openxmlformats.org/officeDocument/2006/relationships/hyperlink" Target="https://wa.me/923065894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" Type="http://schemas.openxmlformats.org/officeDocument/2006/relationships/hyperlink" Target="https://wa.me/9234557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" Type="http://schemas.openxmlformats.org/officeDocument/2006/relationships/hyperlink" Target="https://wa.me/923319874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9" Type="http://schemas.openxmlformats.org/officeDocument/2006/relationships/hyperlink" Target="https://wa.me/923456918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4" Type="http://schemas.openxmlformats.org/officeDocument/2006/relationships/hyperlink" Target="https://wa.me/9234502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3" Type="http://schemas.openxmlformats.org/officeDocument/2006/relationships/hyperlink" Target="https://wa.me/9233460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6" Type="http://schemas.openxmlformats.org/officeDocument/2006/relationships/hyperlink" Target="https://wa.me/92315790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5" Type="http://schemas.openxmlformats.org/officeDocument/2006/relationships/hyperlink" Target="https://wa.me/92309078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8" Type="http://schemas.openxmlformats.org/officeDocument/2006/relationships/hyperlink" Target="https://wa.me/9233251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0" Type="http://schemas.openxmlformats.org/officeDocument/2006/relationships/hyperlink" Target="https://wa.me/9230517890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7" Type="http://schemas.openxmlformats.org/officeDocument/2006/relationships/hyperlink" Target="https://wa.me/923249710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9" Type="http://schemas.openxmlformats.org/officeDocument/2006/relationships/hyperlink" Target="https://wa.me/92341279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0" Type="http://schemas.openxmlformats.org/officeDocument/2006/relationships/hyperlink" Target="https://wa.me/9230159824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2" Type="http://schemas.openxmlformats.org/officeDocument/2006/relationships/hyperlink" Target="https://wa.me/92324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1" Type="http://schemas.openxmlformats.org/officeDocument/2006/relationships/hyperlink" Target="https://wa.me/923149780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" Type="http://schemas.openxmlformats.org/officeDocument/2006/relationships/hyperlink" Target="https://wa.me/92305123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" Type="http://schemas.openxmlformats.org/officeDocument/2006/relationships/hyperlink" Target="https://wa.me/923051234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" Type="http://schemas.openxmlformats.org/officeDocument/2006/relationships/hyperlink" Target="https://wa.me/92305123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9" Type="http://schemas.openxmlformats.org/officeDocument/2006/relationships/hyperlink" Target="https://wa.me/923414897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" Type="http://schemas.openxmlformats.org/officeDocument/2006/relationships/hyperlink" Target="https://wa.me/9230512345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8" Type="http://schemas.openxmlformats.org/officeDocument/2006/relationships/hyperlink" Target="https://wa.me/92336975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" Type="http://schemas.openxmlformats.org/officeDocument/2006/relationships/hyperlink" Target="https://wa.me/923051234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3" Type="http://schemas.openxmlformats.org/officeDocument/2006/relationships/hyperlink" Target="https://wa.me/9233159840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2" Type="http://schemas.openxmlformats.org/officeDocument/2006/relationships/hyperlink" Target="https://wa.me/92324197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1" Type="http://schemas.openxmlformats.org/officeDocument/2006/relationships/hyperlink" Target="https://wa.me/92312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0" Type="http://schemas.openxmlformats.org/officeDocument/2006/relationships/hyperlink" Target="https://wa.me/92302957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" Type="http://schemas.openxmlformats.org/officeDocument/2006/relationships/hyperlink" Target="https://wa.me/923051234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7" Type="http://schemas.openxmlformats.org/officeDocument/2006/relationships/hyperlink" Target="https://wa.me/923227895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" Type="http://schemas.openxmlformats.org/officeDocument/2006/relationships/hyperlink" Target="https://wa.me/923051234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6" Type="http://schemas.openxmlformats.org/officeDocument/2006/relationships/hyperlink" Target="https://wa.me/92315789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" Type="http://schemas.openxmlformats.org/officeDocument/2006/relationships/hyperlink" Target="https://wa.me/923051234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5" Type="http://schemas.openxmlformats.org/officeDocument/2006/relationships/hyperlink" Target="https://wa.me/923047891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" Type="http://schemas.openxmlformats.org/officeDocument/2006/relationships/hyperlink" Target="https://wa.me/9230512346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4" Type="http://schemas.openxmlformats.org/officeDocument/2006/relationships/hyperlink" Target="https://wa.me/923421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3" Type="http://schemas.openxmlformats.org/officeDocument/2006/relationships/hyperlink" Target="https://wa.me/923314907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2" Type="http://schemas.openxmlformats.org/officeDocument/2006/relationships/hyperlink" Target="https://wa.me/923276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5" Type="http://schemas.openxmlformats.org/officeDocument/2006/relationships/hyperlink" Target="https://wa.me/923020879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4" Type="http://schemas.openxmlformats.org/officeDocument/2006/relationships/hyperlink" Target="https://wa.me/923479056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7" Type="http://schemas.openxmlformats.org/officeDocument/2006/relationships/hyperlink" Target="https://wa.me/923274019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6" Type="http://schemas.openxmlformats.org/officeDocument/2006/relationships/hyperlink" Target="https://wa.me/923149057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9" Type="http://schemas.openxmlformats.org/officeDocument/2006/relationships/hyperlink" Target="https://wa.me/923478509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8" Type="http://schemas.openxmlformats.org/officeDocument/2006/relationships/hyperlink" Target="https://wa.me/92335801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1" Type="http://schemas.openxmlformats.org/officeDocument/2006/relationships/hyperlink" Target="https://wa.me/92312789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0" Type="http://schemas.openxmlformats.org/officeDocument/2006/relationships/hyperlink" Target="https://wa.me/92303687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9" Type="http://schemas.openxmlformats.org/officeDocument/2006/relationships/hyperlink" Target="https://wa.me/92346547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8" Type="http://schemas.openxmlformats.org/officeDocument/2006/relationships/hyperlink" Target="https://wa.me/92334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7" Type="http://schemas.openxmlformats.org/officeDocument/2006/relationships/hyperlink" Target="https://wa.me/923276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2" Type="http://schemas.openxmlformats.org/officeDocument/2006/relationships/hyperlink" Target="https://wa.me/9232517694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1" Type="http://schemas.openxmlformats.org/officeDocument/2006/relationships/hyperlink" Target="https://wa.me/923165897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0" Type="http://schemas.openxmlformats.org/officeDocument/2006/relationships/hyperlink" Target="https://wa.me/923017659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6" Type="http://schemas.openxmlformats.org/officeDocument/2006/relationships/hyperlink" Target="https://wa.me/92312698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5" Type="http://schemas.openxmlformats.org/officeDocument/2006/relationships/hyperlink" Target="https://wa.me/92305987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4" Type="http://schemas.openxmlformats.org/officeDocument/2006/relationships/hyperlink" Target="https://wa.me/9234352190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3" Type="http://schemas.openxmlformats.org/officeDocument/2006/relationships/hyperlink" Target="https://wa.me/923378109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2" Type="http://schemas.openxmlformats.org/officeDocument/2006/relationships/hyperlink" Target="https://wa.me/9232291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1" Type="http://schemas.openxmlformats.org/officeDocument/2006/relationships/hyperlink" Target="https://wa.me/92316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4" Type="http://schemas.openxmlformats.org/officeDocument/2006/relationships/hyperlink" Target="https://wa.me/92341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3" Type="http://schemas.openxmlformats.org/officeDocument/2006/relationships/hyperlink" Target="https://wa.me/92334789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6" Type="http://schemas.openxmlformats.org/officeDocument/2006/relationships/hyperlink" Target="https://wa.me/9231509843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2" Type="http://schemas.openxmlformats.org/officeDocument/2006/relationships/hyperlink" Target="https://wa.me/92324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5" Type="http://schemas.openxmlformats.org/officeDocument/2006/relationships/hyperlink" Target="https://wa.me/92304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1" Type="http://schemas.openxmlformats.org/officeDocument/2006/relationships/hyperlink" Target="https://wa.me/92317598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8" Type="http://schemas.openxmlformats.org/officeDocument/2006/relationships/hyperlink" Target="https://wa.me/9233165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0" Type="http://schemas.openxmlformats.org/officeDocument/2006/relationships/hyperlink" Target="https://wa.me/923041987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7" Type="http://schemas.openxmlformats.org/officeDocument/2006/relationships/hyperlink" Target="https://wa.me/923212987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0" Type="http://schemas.openxmlformats.org/officeDocument/2006/relationships/hyperlink" Target="https://wa.me/923050986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5" Type="http://schemas.openxmlformats.org/officeDocument/2006/relationships/hyperlink" Target="https://wa.me/923068971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9" Type="http://schemas.openxmlformats.org/officeDocument/2006/relationships/hyperlink" Target="https://wa.me/923452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4" Type="http://schemas.openxmlformats.org/officeDocument/2006/relationships/hyperlink" Target="https://wa.me/9234175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3" Type="http://schemas.openxmlformats.org/officeDocument/2006/relationships/hyperlink" Target="https://wa.me/923351780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2" Type="http://schemas.openxmlformats.org/officeDocument/2006/relationships/hyperlink" Target="https://wa.me/9232180547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9" Type="http://schemas.openxmlformats.org/officeDocument/2006/relationships/hyperlink" Target="https://wa.me/923424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8" Type="http://schemas.openxmlformats.org/officeDocument/2006/relationships/hyperlink" Target="https://wa.me/923346917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7" Type="http://schemas.openxmlformats.org/officeDocument/2006/relationships/hyperlink" Target="https://wa.me/923247598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6" Type="http://schemas.openxmlformats.org/officeDocument/2006/relationships/hyperlink" Target="https://wa.me/92315904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1" Type="http://schemas.openxmlformats.org/officeDocument/2006/relationships/hyperlink" Target="https://wa.me/92317098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0" Type="http://schemas.openxmlformats.org/officeDocument/2006/relationships/hyperlink" Target="https://wa.me/92308457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3" Type="http://schemas.openxmlformats.org/officeDocument/2006/relationships/hyperlink" Target="https://wa.me/9233708954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2" Type="http://schemas.openxmlformats.org/officeDocument/2006/relationships/hyperlink" Target="https://wa.me/92326690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5" Type="http://schemas.openxmlformats.org/officeDocument/2006/relationships/hyperlink" Target="https://wa.me/92301879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1" Type="http://schemas.openxmlformats.org/officeDocument/2006/relationships/hyperlink" Target="https://wa.me/923171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4" Type="http://schemas.openxmlformats.org/officeDocument/2006/relationships/hyperlink" Target="https://wa.me/9234459873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0" Type="http://schemas.openxmlformats.org/officeDocument/2006/relationships/hyperlink" Target="https://wa.me/923025789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7" Type="http://schemas.openxmlformats.org/officeDocument/2006/relationships/hyperlink" Target="https://wa.me/92321567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6" Type="http://schemas.openxmlformats.org/officeDocument/2006/relationships/hyperlink" Target="https://wa.me/923197458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9" Type="http://schemas.openxmlformats.org/officeDocument/2006/relationships/hyperlink" Target="https://wa.me/923479845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9" Type="http://schemas.openxmlformats.org/officeDocument/2006/relationships/hyperlink" Target="https://wa.me/923417896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4" Type="http://schemas.openxmlformats.org/officeDocument/2006/relationships/hyperlink" Target="https://wa.me/923465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8" Type="http://schemas.openxmlformats.org/officeDocument/2006/relationships/hyperlink" Target="https://wa.me/92336019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3" Type="http://schemas.openxmlformats.org/officeDocument/2006/relationships/hyperlink" Target="https://wa.me/9233201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2" Type="http://schemas.openxmlformats.org/officeDocument/2006/relationships/hyperlink" Target="https://wa.me/923234981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1" Type="http://schemas.openxmlformats.org/officeDocument/2006/relationships/hyperlink" Target="https://wa.me/92316781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8" Type="http://schemas.openxmlformats.org/officeDocument/2006/relationships/hyperlink" Target="https://wa.me/923347819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7" Type="http://schemas.openxmlformats.org/officeDocument/2006/relationships/hyperlink" Target="https://wa.me/92325108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6" Type="http://schemas.openxmlformats.org/officeDocument/2006/relationships/hyperlink" Target="https://wa.me/92319587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5" Type="http://schemas.openxmlformats.org/officeDocument/2006/relationships/hyperlink" Target="https://wa.me/923018796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7" Type="http://schemas.openxmlformats.org/officeDocument/2006/relationships/hyperlink" Target="https://wa.me/923249871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6" Type="http://schemas.openxmlformats.org/officeDocument/2006/relationships/hyperlink" Target="https://wa.me/9231196754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5" Type="http://schemas.openxmlformats.org/officeDocument/2006/relationships/hyperlink" Target="https://wa.me/92307089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4" Type="http://schemas.openxmlformats.org/officeDocument/2006/relationships/hyperlink" Target="https://wa.me/923451298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9" Type="http://schemas.openxmlformats.org/officeDocument/2006/relationships/hyperlink" Target="https://wa.me/92345698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8" Type="http://schemas.openxmlformats.org/officeDocument/2006/relationships/hyperlink" Target="https://wa.me/923341789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3" Type="http://schemas.openxmlformats.org/officeDocument/2006/relationships/hyperlink" Target="https://wa.me/9233198750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2" Type="http://schemas.openxmlformats.org/officeDocument/2006/relationships/hyperlink" Target="https://wa.me/92325489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1" Type="http://schemas.openxmlformats.org/officeDocument/2006/relationships/hyperlink" Target="https://wa.me/9231709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0" Type="http://schemas.openxmlformats.org/officeDocument/2006/relationships/hyperlink" Target="https://wa.me/92302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9" Type="http://schemas.openxmlformats.org/officeDocument/2006/relationships/hyperlink" Target="https://wa.me/923471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8" Type="http://schemas.openxmlformats.org/officeDocument/2006/relationships/hyperlink" Target="https://wa.me/92335904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7" Type="http://schemas.openxmlformats.org/officeDocument/2006/relationships/hyperlink" Target="https://wa.me/923241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6" Type="http://schemas.openxmlformats.org/officeDocument/2006/relationships/hyperlink" Target="https://wa.me/9231246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1" Type="http://schemas.openxmlformats.org/officeDocument/2006/relationships/hyperlink" Target="https://wa.me/92318967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0" Type="http://schemas.openxmlformats.org/officeDocument/2006/relationships/hyperlink" Target="https://wa.me/9230507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5" Type="http://schemas.openxmlformats.org/officeDocument/2006/relationships/hyperlink" Target="https://wa.me/92302946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4" Type="http://schemas.openxmlformats.org/officeDocument/2006/relationships/hyperlink" Target="https://wa.me/92344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3" Type="http://schemas.openxmlformats.org/officeDocument/2006/relationships/hyperlink" Target="https://wa.me/9233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2" Type="http://schemas.openxmlformats.org/officeDocument/2006/relationships/hyperlink" Target="https://wa.me/923251879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5" Type="http://schemas.openxmlformats.org/officeDocument/2006/relationships/hyperlink" Target="https://wa.me/9230197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4" Type="http://schemas.openxmlformats.org/officeDocument/2006/relationships/hyperlink" Target="https://wa.me/923416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7" Type="http://schemas.openxmlformats.org/officeDocument/2006/relationships/hyperlink" Target="https://wa.me/92321598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6" Type="http://schemas.openxmlformats.org/officeDocument/2006/relationships/hyperlink" Target="https://wa.me/92318970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9" Type="http://schemas.openxmlformats.org/officeDocument/2006/relationships/hyperlink" Target="https://wa.me/9234580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8" Type="http://schemas.openxmlformats.org/officeDocument/2006/relationships/hyperlink" Target="https://wa.me/923370985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1" Type="http://schemas.openxmlformats.org/officeDocument/2006/relationships/hyperlink" Target="https://wa.me/9231277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0" Type="http://schemas.openxmlformats.org/officeDocument/2006/relationships/hyperlink" Target="https://wa.me/92306078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3" Type="http://schemas.openxmlformats.org/officeDocument/2006/relationships/hyperlink" Target="https://wa.me/9233460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2" Type="http://schemas.openxmlformats.org/officeDocument/2006/relationships/hyperlink" Target="https://wa.me/923219045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8" Type="http://schemas.openxmlformats.org/officeDocument/2006/relationships/hyperlink" Target="https://wa.me/92334087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7" Type="http://schemas.openxmlformats.org/officeDocument/2006/relationships/hyperlink" Target="https://wa.me/92327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6" Type="http://schemas.openxmlformats.org/officeDocument/2006/relationships/hyperlink" Target="https://wa.me/923170981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5" Type="http://schemas.openxmlformats.org/officeDocument/2006/relationships/hyperlink" Target="https://wa.me/92305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9" Type="http://schemas.openxmlformats.org/officeDocument/2006/relationships/hyperlink" Target="https://wa.me/923415987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0" Type="http://schemas.openxmlformats.org/officeDocument/2006/relationships/hyperlink" Target="https://wa.me/92302765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4" Type="http://schemas.openxmlformats.org/officeDocument/2006/relationships/hyperlink" Target="https://wa.me/923413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3" Type="http://schemas.openxmlformats.org/officeDocument/2006/relationships/hyperlink" Target="https://wa.me/923350897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2" Type="http://schemas.openxmlformats.org/officeDocument/2006/relationships/hyperlink" Target="https://wa.me/9232176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1" Type="http://schemas.openxmlformats.org/officeDocument/2006/relationships/hyperlink" Target="https://wa.me/92314987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6" Type="http://schemas.openxmlformats.org/officeDocument/2006/relationships/table" Target="../tables/table8.xml"/><Relationship Id="rId205" Type="http://schemas.openxmlformats.org/officeDocument/2006/relationships/table" Target="../tables/table7.xml"/><Relationship Id="rId207" Type="http://schemas.openxmlformats.org/officeDocument/2006/relationships/table" Target="../tables/table9.xml"/><Relationship Id="rId201" Type="http://schemas.openxmlformats.org/officeDocument/2006/relationships/drawing" Target="../drawings/drawing5.xml"/><Relationship Id="rId200" Type="http://schemas.openxmlformats.org/officeDocument/2006/relationships/hyperlink" Target="https://wa.me/923051789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a.me/92309157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0" Type="http://schemas.openxmlformats.org/officeDocument/2006/relationships/hyperlink" Target="https://wa.me/92307859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2" Type="http://schemas.openxmlformats.org/officeDocument/2006/relationships/hyperlink" Target="https://wa.me/92323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1" Type="http://schemas.openxmlformats.org/officeDocument/2006/relationships/hyperlink" Target="https://wa.me/9231447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4" Type="http://schemas.openxmlformats.org/officeDocument/2006/relationships/hyperlink" Target="https://wa.me/923478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4" Type="http://schemas.openxmlformats.org/officeDocument/2006/relationships/hyperlink" Target="https://wa.me/92345879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3" Type="http://schemas.openxmlformats.org/officeDocument/2006/relationships/hyperlink" Target="https://wa.me/9233512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3" Type="http://schemas.openxmlformats.org/officeDocument/2006/relationships/hyperlink" Target="https://wa.me/92332198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6" Type="http://schemas.openxmlformats.org/officeDocument/2006/relationships/hyperlink" Target="https://wa.me/923182045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2" Type="http://schemas.openxmlformats.org/officeDocument/2006/relationships/hyperlink" Target="https://wa.me/923212987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5" Type="http://schemas.openxmlformats.org/officeDocument/2006/relationships/hyperlink" Target="https://wa.me/923066789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1" Type="http://schemas.openxmlformats.org/officeDocument/2006/relationships/hyperlink" Target="https://wa.me/92315790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8" Type="http://schemas.openxmlformats.org/officeDocument/2006/relationships/hyperlink" Target="https://wa.me/923388120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7" Type="http://schemas.openxmlformats.org/officeDocument/2006/relationships/hyperlink" Target="https://wa.me/92324987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7" Type="http://schemas.openxmlformats.org/officeDocument/2006/relationships/hyperlink" Target="https://wa.me/923257890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6" Type="http://schemas.openxmlformats.org/officeDocument/2006/relationships/hyperlink" Target="https://wa.me/923178054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5" Type="http://schemas.openxmlformats.org/officeDocument/2006/relationships/hyperlink" Target="https://wa.me/923050891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9" Type="http://schemas.openxmlformats.org/officeDocument/2006/relationships/hyperlink" Target="https://wa.me/923455879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4" Type="http://schemas.openxmlformats.org/officeDocument/2006/relationships/hyperlink" Target="https://wa.me/92342489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9" Type="http://schemas.openxmlformats.org/officeDocument/2006/relationships/hyperlink" Target="https://wa.me/9234605198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8" Type="http://schemas.openxmlformats.org/officeDocument/2006/relationships/hyperlink" Target="https://wa.me/92337105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1" Type="http://schemas.openxmlformats.org/officeDocument/2006/relationships/hyperlink" Target="https://wa.me/923155978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0" Type="http://schemas.openxmlformats.org/officeDocument/2006/relationships/hyperlink" Target="https://wa.me/923024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3" Type="http://schemas.openxmlformats.org/officeDocument/2006/relationships/hyperlink" Target="https://wa.me/923370895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3" Type="http://schemas.openxmlformats.org/officeDocument/2006/relationships/hyperlink" Target="https://wa.me/923346901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2" Type="http://schemas.openxmlformats.org/officeDocument/2006/relationships/hyperlink" Target="https://wa.me/92324489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2" Type="http://schemas.openxmlformats.org/officeDocument/2006/relationships/hyperlink" Target="https://wa.me/923247019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5" Type="http://schemas.openxmlformats.org/officeDocument/2006/relationships/hyperlink" Target="https://wa.me/9230687512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1" Type="http://schemas.openxmlformats.org/officeDocument/2006/relationships/hyperlink" Target="https://wa.me/923116904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4" Type="http://schemas.openxmlformats.org/officeDocument/2006/relationships/hyperlink" Target="https://wa.me/923460895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0" Type="http://schemas.openxmlformats.org/officeDocument/2006/relationships/hyperlink" Target="https://wa.me/923051987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7" Type="http://schemas.openxmlformats.org/officeDocument/2006/relationships/hyperlink" Target="https://wa.me/9232445781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6" Type="http://schemas.openxmlformats.org/officeDocument/2006/relationships/hyperlink" Target="https://wa.me/9231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6" Type="http://schemas.openxmlformats.org/officeDocument/2006/relationships/hyperlink" Target="https://wa.me/923199457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5" Type="http://schemas.openxmlformats.org/officeDocument/2006/relationships/hyperlink" Target="https://wa.me/923046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9" Type="http://schemas.openxmlformats.org/officeDocument/2006/relationships/hyperlink" Target="https://wa.me/92341789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4" Type="http://schemas.openxmlformats.org/officeDocument/2006/relationships/hyperlink" Target="https://wa.me/923419876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8" Type="http://schemas.openxmlformats.org/officeDocument/2006/relationships/hyperlink" Target="https://wa.me/9233219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3" Type="http://schemas.openxmlformats.org/officeDocument/2006/relationships/hyperlink" Target="https://wa.me/923357890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9" Type="http://schemas.openxmlformats.org/officeDocument/2006/relationships/hyperlink" Target="https://wa.me/923417896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8" Type="http://schemas.openxmlformats.org/officeDocument/2006/relationships/hyperlink" Target="https://wa.me/923329054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7" Type="http://schemas.openxmlformats.org/officeDocument/2006/relationships/hyperlink" Target="https://wa.me/92324189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" Type="http://schemas.openxmlformats.org/officeDocument/2006/relationships/hyperlink" Target="https://wa.me/92304598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2" Type="http://schemas.openxmlformats.org/officeDocument/2006/relationships/hyperlink" Target="https://wa.me/92328165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1" Type="http://schemas.openxmlformats.org/officeDocument/2006/relationships/hyperlink" Target="https://wa.me/923124058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4" Type="http://schemas.openxmlformats.org/officeDocument/2006/relationships/hyperlink" Target="https://wa.me/9234198760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3" Type="http://schemas.openxmlformats.org/officeDocument/2006/relationships/hyperlink" Target="https://wa.me/923347890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6" Type="http://schemas.openxmlformats.org/officeDocument/2006/relationships/hyperlink" Target="https://wa.me/92317690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5" Type="http://schemas.openxmlformats.org/officeDocument/2006/relationships/hyperlink" Target="https://wa.me/923015894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8" Type="http://schemas.openxmlformats.org/officeDocument/2006/relationships/hyperlink" Target="https://wa.me/923365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7" Type="http://schemas.openxmlformats.org/officeDocument/2006/relationships/hyperlink" Target="https://wa.me/923298145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9" Type="http://schemas.openxmlformats.org/officeDocument/2006/relationships/hyperlink" Target="https://wa.me/923476519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" Type="http://schemas.openxmlformats.org/officeDocument/2006/relationships/hyperlink" Target="https://wa.me/9230512346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" Type="http://schemas.openxmlformats.org/officeDocument/2006/relationships/hyperlink" Target="https://wa.me/923051234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" Type="http://schemas.openxmlformats.org/officeDocument/2006/relationships/hyperlink" Target="https://wa.me/92335780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" Type="http://schemas.openxmlformats.org/officeDocument/2006/relationships/hyperlink" Target="https://wa.me/9230512346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" Type="http://schemas.openxmlformats.org/officeDocument/2006/relationships/hyperlink" Target="https://wa.me/923084659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8" Type="http://schemas.openxmlformats.org/officeDocument/2006/relationships/hyperlink" Target="https://wa.me/923347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" Type="http://schemas.openxmlformats.org/officeDocument/2006/relationships/hyperlink" Target="https://wa.me/9234560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7" Type="http://schemas.openxmlformats.org/officeDocument/2006/relationships/hyperlink" Target="https://wa.me/92326598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" Type="http://schemas.openxmlformats.org/officeDocument/2006/relationships/hyperlink" Target="https://wa.me/9232514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6" Type="http://schemas.openxmlformats.org/officeDocument/2006/relationships/hyperlink" Target="https://wa.me/923195874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" Type="http://schemas.openxmlformats.org/officeDocument/2006/relationships/hyperlink" Target="https://wa.me/923197854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5" Type="http://schemas.openxmlformats.org/officeDocument/2006/relationships/hyperlink" Target="https://wa.me/923065894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" Type="http://schemas.openxmlformats.org/officeDocument/2006/relationships/hyperlink" Target="https://wa.me/9234557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" Type="http://schemas.openxmlformats.org/officeDocument/2006/relationships/hyperlink" Target="https://wa.me/923319874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9" Type="http://schemas.openxmlformats.org/officeDocument/2006/relationships/hyperlink" Target="https://wa.me/923456918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4" Type="http://schemas.openxmlformats.org/officeDocument/2006/relationships/hyperlink" Target="https://wa.me/9234502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3" Type="http://schemas.openxmlformats.org/officeDocument/2006/relationships/hyperlink" Target="https://wa.me/9233460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6" Type="http://schemas.openxmlformats.org/officeDocument/2006/relationships/hyperlink" Target="https://wa.me/92315790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5" Type="http://schemas.openxmlformats.org/officeDocument/2006/relationships/hyperlink" Target="https://wa.me/92309078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8" Type="http://schemas.openxmlformats.org/officeDocument/2006/relationships/hyperlink" Target="https://wa.me/9233251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0" Type="http://schemas.openxmlformats.org/officeDocument/2006/relationships/hyperlink" Target="https://wa.me/9230517890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7" Type="http://schemas.openxmlformats.org/officeDocument/2006/relationships/hyperlink" Target="https://wa.me/923249710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9" Type="http://schemas.openxmlformats.org/officeDocument/2006/relationships/hyperlink" Target="https://wa.me/92341279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0" Type="http://schemas.openxmlformats.org/officeDocument/2006/relationships/hyperlink" Target="https://wa.me/9230159824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2" Type="http://schemas.openxmlformats.org/officeDocument/2006/relationships/hyperlink" Target="https://wa.me/92324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1" Type="http://schemas.openxmlformats.org/officeDocument/2006/relationships/hyperlink" Target="https://wa.me/923149780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" Type="http://schemas.openxmlformats.org/officeDocument/2006/relationships/hyperlink" Target="https://wa.me/92305123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" Type="http://schemas.openxmlformats.org/officeDocument/2006/relationships/hyperlink" Target="https://wa.me/923051234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" Type="http://schemas.openxmlformats.org/officeDocument/2006/relationships/hyperlink" Target="https://wa.me/92305123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9" Type="http://schemas.openxmlformats.org/officeDocument/2006/relationships/hyperlink" Target="https://wa.me/923414897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" Type="http://schemas.openxmlformats.org/officeDocument/2006/relationships/hyperlink" Target="https://wa.me/9230512345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8" Type="http://schemas.openxmlformats.org/officeDocument/2006/relationships/hyperlink" Target="https://wa.me/92336975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" Type="http://schemas.openxmlformats.org/officeDocument/2006/relationships/hyperlink" Target="https://wa.me/923051234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3" Type="http://schemas.openxmlformats.org/officeDocument/2006/relationships/hyperlink" Target="https://wa.me/9233159840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2" Type="http://schemas.openxmlformats.org/officeDocument/2006/relationships/hyperlink" Target="https://wa.me/92324197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1" Type="http://schemas.openxmlformats.org/officeDocument/2006/relationships/hyperlink" Target="https://wa.me/92312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0" Type="http://schemas.openxmlformats.org/officeDocument/2006/relationships/hyperlink" Target="https://wa.me/92302957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" Type="http://schemas.openxmlformats.org/officeDocument/2006/relationships/hyperlink" Target="https://wa.me/923051234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7" Type="http://schemas.openxmlformats.org/officeDocument/2006/relationships/hyperlink" Target="https://wa.me/923227895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" Type="http://schemas.openxmlformats.org/officeDocument/2006/relationships/hyperlink" Target="https://wa.me/923051234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6" Type="http://schemas.openxmlformats.org/officeDocument/2006/relationships/hyperlink" Target="https://wa.me/92315789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" Type="http://schemas.openxmlformats.org/officeDocument/2006/relationships/hyperlink" Target="https://wa.me/923051234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5" Type="http://schemas.openxmlformats.org/officeDocument/2006/relationships/hyperlink" Target="https://wa.me/923047891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" Type="http://schemas.openxmlformats.org/officeDocument/2006/relationships/hyperlink" Target="https://wa.me/9230512346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4" Type="http://schemas.openxmlformats.org/officeDocument/2006/relationships/hyperlink" Target="https://wa.me/923421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3" Type="http://schemas.openxmlformats.org/officeDocument/2006/relationships/hyperlink" Target="https://wa.me/923314907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2" Type="http://schemas.openxmlformats.org/officeDocument/2006/relationships/hyperlink" Target="https://wa.me/923276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5" Type="http://schemas.openxmlformats.org/officeDocument/2006/relationships/hyperlink" Target="https://wa.me/923020879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4" Type="http://schemas.openxmlformats.org/officeDocument/2006/relationships/hyperlink" Target="https://wa.me/923479056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7" Type="http://schemas.openxmlformats.org/officeDocument/2006/relationships/hyperlink" Target="https://wa.me/923274019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6" Type="http://schemas.openxmlformats.org/officeDocument/2006/relationships/hyperlink" Target="https://wa.me/923149057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9" Type="http://schemas.openxmlformats.org/officeDocument/2006/relationships/hyperlink" Target="https://wa.me/923478509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8" Type="http://schemas.openxmlformats.org/officeDocument/2006/relationships/hyperlink" Target="https://wa.me/92335801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1" Type="http://schemas.openxmlformats.org/officeDocument/2006/relationships/hyperlink" Target="https://wa.me/92312789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0" Type="http://schemas.openxmlformats.org/officeDocument/2006/relationships/hyperlink" Target="https://wa.me/92303687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9" Type="http://schemas.openxmlformats.org/officeDocument/2006/relationships/hyperlink" Target="https://wa.me/92346547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8" Type="http://schemas.openxmlformats.org/officeDocument/2006/relationships/hyperlink" Target="https://wa.me/92334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7" Type="http://schemas.openxmlformats.org/officeDocument/2006/relationships/hyperlink" Target="https://wa.me/923276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2" Type="http://schemas.openxmlformats.org/officeDocument/2006/relationships/hyperlink" Target="https://wa.me/9232517694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1" Type="http://schemas.openxmlformats.org/officeDocument/2006/relationships/hyperlink" Target="https://wa.me/923165897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0" Type="http://schemas.openxmlformats.org/officeDocument/2006/relationships/hyperlink" Target="https://wa.me/923017659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6" Type="http://schemas.openxmlformats.org/officeDocument/2006/relationships/hyperlink" Target="https://wa.me/92312698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5" Type="http://schemas.openxmlformats.org/officeDocument/2006/relationships/hyperlink" Target="https://wa.me/92305987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4" Type="http://schemas.openxmlformats.org/officeDocument/2006/relationships/hyperlink" Target="https://wa.me/9234352190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3" Type="http://schemas.openxmlformats.org/officeDocument/2006/relationships/hyperlink" Target="https://wa.me/923378109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2" Type="http://schemas.openxmlformats.org/officeDocument/2006/relationships/hyperlink" Target="https://wa.me/9232291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1" Type="http://schemas.openxmlformats.org/officeDocument/2006/relationships/hyperlink" Target="https://wa.me/92316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4" Type="http://schemas.openxmlformats.org/officeDocument/2006/relationships/hyperlink" Target="https://wa.me/92341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3" Type="http://schemas.openxmlformats.org/officeDocument/2006/relationships/hyperlink" Target="https://wa.me/92334789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6" Type="http://schemas.openxmlformats.org/officeDocument/2006/relationships/hyperlink" Target="https://wa.me/9231509843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2" Type="http://schemas.openxmlformats.org/officeDocument/2006/relationships/hyperlink" Target="https://wa.me/92324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5" Type="http://schemas.openxmlformats.org/officeDocument/2006/relationships/hyperlink" Target="https://wa.me/92304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1" Type="http://schemas.openxmlformats.org/officeDocument/2006/relationships/hyperlink" Target="https://wa.me/92317598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8" Type="http://schemas.openxmlformats.org/officeDocument/2006/relationships/hyperlink" Target="https://wa.me/9233165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0" Type="http://schemas.openxmlformats.org/officeDocument/2006/relationships/hyperlink" Target="https://wa.me/923041987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7" Type="http://schemas.openxmlformats.org/officeDocument/2006/relationships/hyperlink" Target="https://wa.me/923212987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0" Type="http://schemas.openxmlformats.org/officeDocument/2006/relationships/hyperlink" Target="https://wa.me/923050986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5" Type="http://schemas.openxmlformats.org/officeDocument/2006/relationships/hyperlink" Target="https://wa.me/923068971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9" Type="http://schemas.openxmlformats.org/officeDocument/2006/relationships/hyperlink" Target="https://wa.me/923452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4" Type="http://schemas.openxmlformats.org/officeDocument/2006/relationships/hyperlink" Target="https://wa.me/9234175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3" Type="http://schemas.openxmlformats.org/officeDocument/2006/relationships/hyperlink" Target="https://wa.me/923351780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2" Type="http://schemas.openxmlformats.org/officeDocument/2006/relationships/hyperlink" Target="https://wa.me/9232180547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9" Type="http://schemas.openxmlformats.org/officeDocument/2006/relationships/hyperlink" Target="https://wa.me/923424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8" Type="http://schemas.openxmlformats.org/officeDocument/2006/relationships/hyperlink" Target="https://wa.me/923346917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7" Type="http://schemas.openxmlformats.org/officeDocument/2006/relationships/hyperlink" Target="https://wa.me/923247598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6" Type="http://schemas.openxmlformats.org/officeDocument/2006/relationships/hyperlink" Target="https://wa.me/92315904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1" Type="http://schemas.openxmlformats.org/officeDocument/2006/relationships/hyperlink" Target="https://wa.me/92317098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0" Type="http://schemas.openxmlformats.org/officeDocument/2006/relationships/hyperlink" Target="https://wa.me/92308457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3" Type="http://schemas.openxmlformats.org/officeDocument/2006/relationships/hyperlink" Target="https://wa.me/9233708954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2" Type="http://schemas.openxmlformats.org/officeDocument/2006/relationships/hyperlink" Target="https://wa.me/92326690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5" Type="http://schemas.openxmlformats.org/officeDocument/2006/relationships/hyperlink" Target="https://wa.me/92301879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1" Type="http://schemas.openxmlformats.org/officeDocument/2006/relationships/hyperlink" Target="https://wa.me/923171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4" Type="http://schemas.openxmlformats.org/officeDocument/2006/relationships/hyperlink" Target="https://wa.me/9234459873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0" Type="http://schemas.openxmlformats.org/officeDocument/2006/relationships/hyperlink" Target="https://wa.me/923025789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7" Type="http://schemas.openxmlformats.org/officeDocument/2006/relationships/hyperlink" Target="https://wa.me/92321567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6" Type="http://schemas.openxmlformats.org/officeDocument/2006/relationships/hyperlink" Target="https://wa.me/923197458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9" Type="http://schemas.openxmlformats.org/officeDocument/2006/relationships/hyperlink" Target="https://wa.me/923479845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9" Type="http://schemas.openxmlformats.org/officeDocument/2006/relationships/hyperlink" Target="https://wa.me/923417896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4" Type="http://schemas.openxmlformats.org/officeDocument/2006/relationships/hyperlink" Target="https://wa.me/923465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8" Type="http://schemas.openxmlformats.org/officeDocument/2006/relationships/hyperlink" Target="https://wa.me/92336019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3" Type="http://schemas.openxmlformats.org/officeDocument/2006/relationships/hyperlink" Target="https://wa.me/9233201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2" Type="http://schemas.openxmlformats.org/officeDocument/2006/relationships/hyperlink" Target="https://wa.me/923234981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1" Type="http://schemas.openxmlformats.org/officeDocument/2006/relationships/hyperlink" Target="https://wa.me/92316781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8" Type="http://schemas.openxmlformats.org/officeDocument/2006/relationships/hyperlink" Target="https://wa.me/923347819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7" Type="http://schemas.openxmlformats.org/officeDocument/2006/relationships/hyperlink" Target="https://wa.me/92325108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6" Type="http://schemas.openxmlformats.org/officeDocument/2006/relationships/hyperlink" Target="https://wa.me/92319587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5" Type="http://schemas.openxmlformats.org/officeDocument/2006/relationships/hyperlink" Target="https://wa.me/923018796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7" Type="http://schemas.openxmlformats.org/officeDocument/2006/relationships/hyperlink" Target="https://wa.me/923249871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6" Type="http://schemas.openxmlformats.org/officeDocument/2006/relationships/hyperlink" Target="https://wa.me/9231196754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5" Type="http://schemas.openxmlformats.org/officeDocument/2006/relationships/hyperlink" Target="https://wa.me/92307089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4" Type="http://schemas.openxmlformats.org/officeDocument/2006/relationships/hyperlink" Target="https://wa.me/923451298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9" Type="http://schemas.openxmlformats.org/officeDocument/2006/relationships/hyperlink" Target="https://wa.me/92345698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8" Type="http://schemas.openxmlformats.org/officeDocument/2006/relationships/hyperlink" Target="https://wa.me/923341789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3" Type="http://schemas.openxmlformats.org/officeDocument/2006/relationships/hyperlink" Target="https://wa.me/9233198750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2" Type="http://schemas.openxmlformats.org/officeDocument/2006/relationships/hyperlink" Target="https://wa.me/92325489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1" Type="http://schemas.openxmlformats.org/officeDocument/2006/relationships/hyperlink" Target="https://wa.me/9231709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0" Type="http://schemas.openxmlformats.org/officeDocument/2006/relationships/hyperlink" Target="https://wa.me/92302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9" Type="http://schemas.openxmlformats.org/officeDocument/2006/relationships/hyperlink" Target="https://wa.me/923471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8" Type="http://schemas.openxmlformats.org/officeDocument/2006/relationships/hyperlink" Target="https://wa.me/92335904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7" Type="http://schemas.openxmlformats.org/officeDocument/2006/relationships/hyperlink" Target="https://wa.me/923241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6" Type="http://schemas.openxmlformats.org/officeDocument/2006/relationships/hyperlink" Target="https://wa.me/9231246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1" Type="http://schemas.openxmlformats.org/officeDocument/2006/relationships/hyperlink" Target="https://wa.me/92318967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0" Type="http://schemas.openxmlformats.org/officeDocument/2006/relationships/hyperlink" Target="https://wa.me/9230507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5" Type="http://schemas.openxmlformats.org/officeDocument/2006/relationships/hyperlink" Target="https://wa.me/92302946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4" Type="http://schemas.openxmlformats.org/officeDocument/2006/relationships/hyperlink" Target="https://wa.me/92344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3" Type="http://schemas.openxmlformats.org/officeDocument/2006/relationships/hyperlink" Target="https://wa.me/9233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2" Type="http://schemas.openxmlformats.org/officeDocument/2006/relationships/hyperlink" Target="https://wa.me/923251879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5" Type="http://schemas.openxmlformats.org/officeDocument/2006/relationships/hyperlink" Target="https://wa.me/9230197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4" Type="http://schemas.openxmlformats.org/officeDocument/2006/relationships/hyperlink" Target="https://wa.me/923416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7" Type="http://schemas.openxmlformats.org/officeDocument/2006/relationships/hyperlink" Target="https://wa.me/92321598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6" Type="http://schemas.openxmlformats.org/officeDocument/2006/relationships/hyperlink" Target="https://wa.me/92318970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9" Type="http://schemas.openxmlformats.org/officeDocument/2006/relationships/hyperlink" Target="https://wa.me/9234580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8" Type="http://schemas.openxmlformats.org/officeDocument/2006/relationships/hyperlink" Target="https://wa.me/923370985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1" Type="http://schemas.openxmlformats.org/officeDocument/2006/relationships/hyperlink" Target="https://wa.me/9231277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0" Type="http://schemas.openxmlformats.org/officeDocument/2006/relationships/hyperlink" Target="https://wa.me/92306078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3" Type="http://schemas.openxmlformats.org/officeDocument/2006/relationships/hyperlink" Target="https://wa.me/9233460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2" Type="http://schemas.openxmlformats.org/officeDocument/2006/relationships/hyperlink" Target="https://wa.me/923219045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8" Type="http://schemas.openxmlformats.org/officeDocument/2006/relationships/hyperlink" Target="https://wa.me/92334087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7" Type="http://schemas.openxmlformats.org/officeDocument/2006/relationships/hyperlink" Target="https://wa.me/92327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6" Type="http://schemas.openxmlformats.org/officeDocument/2006/relationships/hyperlink" Target="https://wa.me/923170981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5" Type="http://schemas.openxmlformats.org/officeDocument/2006/relationships/hyperlink" Target="https://wa.me/92305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9" Type="http://schemas.openxmlformats.org/officeDocument/2006/relationships/hyperlink" Target="https://wa.me/923415987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0" Type="http://schemas.openxmlformats.org/officeDocument/2006/relationships/hyperlink" Target="https://wa.me/92302765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4" Type="http://schemas.openxmlformats.org/officeDocument/2006/relationships/hyperlink" Target="https://wa.me/923413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3" Type="http://schemas.openxmlformats.org/officeDocument/2006/relationships/hyperlink" Target="https://wa.me/923350897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2" Type="http://schemas.openxmlformats.org/officeDocument/2006/relationships/hyperlink" Target="https://wa.me/9232176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1" Type="http://schemas.openxmlformats.org/officeDocument/2006/relationships/hyperlink" Target="https://wa.me/92314987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6" Type="http://schemas.openxmlformats.org/officeDocument/2006/relationships/table" Target="../tables/table11.xml"/><Relationship Id="rId205" Type="http://schemas.openxmlformats.org/officeDocument/2006/relationships/table" Target="../tables/table10.xml"/><Relationship Id="rId207" Type="http://schemas.openxmlformats.org/officeDocument/2006/relationships/table" Target="../tables/table12.xml"/><Relationship Id="rId201" Type="http://schemas.openxmlformats.org/officeDocument/2006/relationships/drawing" Target="../drawings/drawing6.xml"/><Relationship Id="rId200" Type="http://schemas.openxmlformats.org/officeDocument/2006/relationships/hyperlink" Target="https://wa.me/923051789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a.me/92309157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0" Type="http://schemas.openxmlformats.org/officeDocument/2006/relationships/hyperlink" Target="https://wa.me/92307859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2" Type="http://schemas.openxmlformats.org/officeDocument/2006/relationships/hyperlink" Target="https://wa.me/92323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1" Type="http://schemas.openxmlformats.org/officeDocument/2006/relationships/hyperlink" Target="https://wa.me/9231447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4" Type="http://schemas.openxmlformats.org/officeDocument/2006/relationships/hyperlink" Target="https://wa.me/923478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4" Type="http://schemas.openxmlformats.org/officeDocument/2006/relationships/hyperlink" Target="https://wa.me/92345879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3" Type="http://schemas.openxmlformats.org/officeDocument/2006/relationships/hyperlink" Target="https://wa.me/9233512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3" Type="http://schemas.openxmlformats.org/officeDocument/2006/relationships/hyperlink" Target="https://wa.me/92332198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6" Type="http://schemas.openxmlformats.org/officeDocument/2006/relationships/hyperlink" Target="https://wa.me/923182045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2" Type="http://schemas.openxmlformats.org/officeDocument/2006/relationships/hyperlink" Target="https://wa.me/923212987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5" Type="http://schemas.openxmlformats.org/officeDocument/2006/relationships/hyperlink" Target="https://wa.me/923066789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1" Type="http://schemas.openxmlformats.org/officeDocument/2006/relationships/hyperlink" Target="https://wa.me/92315790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8" Type="http://schemas.openxmlformats.org/officeDocument/2006/relationships/hyperlink" Target="https://wa.me/923388120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7" Type="http://schemas.openxmlformats.org/officeDocument/2006/relationships/hyperlink" Target="https://wa.me/92324987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7" Type="http://schemas.openxmlformats.org/officeDocument/2006/relationships/hyperlink" Target="https://wa.me/923257890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6" Type="http://schemas.openxmlformats.org/officeDocument/2006/relationships/hyperlink" Target="https://wa.me/923178054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5" Type="http://schemas.openxmlformats.org/officeDocument/2006/relationships/hyperlink" Target="https://wa.me/923050891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9" Type="http://schemas.openxmlformats.org/officeDocument/2006/relationships/hyperlink" Target="https://wa.me/923455879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4" Type="http://schemas.openxmlformats.org/officeDocument/2006/relationships/hyperlink" Target="https://wa.me/92342489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9" Type="http://schemas.openxmlformats.org/officeDocument/2006/relationships/hyperlink" Target="https://wa.me/9234605198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8" Type="http://schemas.openxmlformats.org/officeDocument/2006/relationships/hyperlink" Target="https://wa.me/92337105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1" Type="http://schemas.openxmlformats.org/officeDocument/2006/relationships/hyperlink" Target="https://wa.me/923155978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0" Type="http://schemas.openxmlformats.org/officeDocument/2006/relationships/hyperlink" Target="https://wa.me/923024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3" Type="http://schemas.openxmlformats.org/officeDocument/2006/relationships/hyperlink" Target="https://wa.me/923370895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3" Type="http://schemas.openxmlformats.org/officeDocument/2006/relationships/hyperlink" Target="https://wa.me/923346901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2" Type="http://schemas.openxmlformats.org/officeDocument/2006/relationships/hyperlink" Target="https://wa.me/92324489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2" Type="http://schemas.openxmlformats.org/officeDocument/2006/relationships/hyperlink" Target="https://wa.me/923247019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5" Type="http://schemas.openxmlformats.org/officeDocument/2006/relationships/hyperlink" Target="https://wa.me/9230687512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1" Type="http://schemas.openxmlformats.org/officeDocument/2006/relationships/hyperlink" Target="https://wa.me/923116904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4" Type="http://schemas.openxmlformats.org/officeDocument/2006/relationships/hyperlink" Target="https://wa.me/923460895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0" Type="http://schemas.openxmlformats.org/officeDocument/2006/relationships/hyperlink" Target="https://wa.me/923051987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7" Type="http://schemas.openxmlformats.org/officeDocument/2006/relationships/hyperlink" Target="https://wa.me/9232445781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6" Type="http://schemas.openxmlformats.org/officeDocument/2006/relationships/hyperlink" Target="https://wa.me/9231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6" Type="http://schemas.openxmlformats.org/officeDocument/2006/relationships/hyperlink" Target="https://wa.me/923199457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5" Type="http://schemas.openxmlformats.org/officeDocument/2006/relationships/hyperlink" Target="https://wa.me/923046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9" Type="http://schemas.openxmlformats.org/officeDocument/2006/relationships/hyperlink" Target="https://wa.me/92341789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4" Type="http://schemas.openxmlformats.org/officeDocument/2006/relationships/hyperlink" Target="https://wa.me/923419876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8" Type="http://schemas.openxmlformats.org/officeDocument/2006/relationships/hyperlink" Target="https://wa.me/9233219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3" Type="http://schemas.openxmlformats.org/officeDocument/2006/relationships/hyperlink" Target="https://wa.me/923357890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9" Type="http://schemas.openxmlformats.org/officeDocument/2006/relationships/hyperlink" Target="https://wa.me/923417896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8" Type="http://schemas.openxmlformats.org/officeDocument/2006/relationships/hyperlink" Target="https://wa.me/923329054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7" Type="http://schemas.openxmlformats.org/officeDocument/2006/relationships/hyperlink" Target="https://wa.me/92324189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" Type="http://schemas.openxmlformats.org/officeDocument/2006/relationships/hyperlink" Target="https://wa.me/92304598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2" Type="http://schemas.openxmlformats.org/officeDocument/2006/relationships/hyperlink" Target="https://wa.me/92328165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1" Type="http://schemas.openxmlformats.org/officeDocument/2006/relationships/hyperlink" Target="https://wa.me/923124058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4" Type="http://schemas.openxmlformats.org/officeDocument/2006/relationships/hyperlink" Target="https://wa.me/9234198760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3" Type="http://schemas.openxmlformats.org/officeDocument/2006/relationships/hyperlink" Target="https://wa.me/923347890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6" Type="http://schemas.openxmlformats.org/officeDocument/2006/relationships/hyperlink" Target="https://wa.me/92317690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5" Type="http://schemas.openxmlformats.org/officeDocument/2006/relationships/hyperlink" Target="https://wa.me/923015894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8" Type="http://schemas.openxmlformats.org/officeDocument/2006/relationships/hyperlink" Target="https://wa.me/923365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7" Type="http://schemas.openxmlformats.org/officeDocument/2006/relationships/hyperlink" Target="https://wa.me/923298145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9" Type="http://schemas.openxmlformats.org/officeDocument/2006/relationships/hyperlink" Target="https://wa.me/923476519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" Type="http://schemas.openxmlformats.org/officeDocument/2006/relationships/hyperlink" Target="https://wa.me/9230512346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" Type="http://schemas.openxmlformats.org/officeDocument/2006/relationships/hyperlink" Target="https://wa.me/923051234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" Type="http://schemas.openxmlformats.org/officeDocument/2006/relationships/hyperlink" Target="https://wa.me/92335780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" Type="http://schemas.openxmlformats.org/officeDocument/2006/relationships/hyperlink" Target="https://wa.me/9230512346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" Type="http://schemas.openxmlformats.org/officeDocument/2006/relationships/hyperlink" Target="https://wa.me/923084659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8" Type="http://schemas.openxmlformats.org/officeDocument/2006/relationships/hyperlink" Target="https://wa.me/923347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" Type="http://schemas.openxmlformats.org/officeDocument/2006/relationships/hyperlink" Target="https://wa.me/9234560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7" Type="http://schemas.openxmlformats.org/officeDocument/2006/relationships/hyperlink" Target="https://wa.me/92326598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" Type="http://schemas.openxmlformats.org/officeDocument/2006/relationships/hyperlink" Target="https://wa.me/9232514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6" Type="http://schemas.openxmlformats.org/officeDocument/2006/relationships/hyperlink" Target="https://wa.me/923195874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" Type="http://schemas.openxmlformats.org/officeDocument/2006/relationships/hyperlink" Target="https://wa.me/923197854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5" Type="http://schemas.openxmlformats.org/officeDocument/2006/relationships/hyperlink" Target="https://wa.me/923065894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" Type="http://schemas.openxmlformats.org/officeDocument/2006/relationships/hyperlink" Target="https://wa.me/9234557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" Type="http://schemas.openxmlformats.org/officeDocument/2006/relationships/hyperlink" Target="https://wa.me/923319874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9" Type="http://schemas.openxmlformats.org/officeDocument/2006/relationships/hyperlink" Target="https://wa.me/923456918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4" Type="http://schemas.openxmlformats.org/officeDocument/2006/relationships/hyperlink" Target="https://wa.me/9234502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3" Type="http://schemas.openxmlformats.org/officeDocument/2006/relationships/hyperlink" Target="https://wa.me/9233460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6" Type="http://schemas.openxmlformats.org/officeDocument/2006/relationships/hyperlink" Target="https://wa.me/92315790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5" Type="http://schemas.openxmlformats.org/officeDocument/2006/relationships/hyperlink" Target="https://wa.me/92309078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8" Type="http://schemas.openxmlformats.org/officeDocument/2006/relationships/hyperlink" Target="https://wa.me/9233251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0" Type="http://schemas.openxmlformats.org/officeDocument/2006/relationships/hyperlink" Target="https://wa.me/9230517890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7" Type="http://schemas.openxmlformats.org/officeDocument/2006/relationships/hyperlink" Target="https://wa.me/923249710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9" Type="http://schemas.openxmlformats.org/officeDocument/2006/relationships/hyperlink" Target="https://wa.me/92341279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0" Type="http://schemas.openxmlformats.org/officeDocument/2006/relationships/hyperlink" Target="https://wa.me/9230159824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2" Type="http://schemas.openxmlformats.org/officeDocument/2006/relationships/hyperlink" Target="https://wa.me/92324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1" Type="http://schemas.openxmlformats.org/officeDocument/2006/relationships/hyperlink" Target="https://wa.me/923149780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" Type="http://schemas.openxmlformats.org/officeDocument/2006/relationships/hyperlink" Target="https://wa.me/92305123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" Type="http://schemas.openxmlformats.org/officeDocument/2006/relationships/hyperlink" Target="https://wa.me/923051234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" Type="http://schemas.openxmlformats.org/officeDocument/2006/relationships/hyperlink" Target="https://wa.me/92305123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9" Type="http://schemas.openxmlformats.org/officeDocument/2006/relationships/hyperlink" Target="https://wa.me/923414897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" Type="http://schemas.openxmlformats.org/officeDocument/2006/relationships/hyperlink" Target="https://wa.me/9230512345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8" Type="http://schemas.openxmlformats.org/officeDocument/2006/relationships/hyperlink" Target="https://wa.me/92336975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" Type="http://schemas.openxmlformats.org/officeDocument/2006/relationships/hyperlink" Target="https://wa.me/923051234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3" Type="http://schemas.openxmlformats.org/officeDocument/2006/relationships/hyperlink" Target="https://wa.me/9233159840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2" Type="http://schemas.openxmlformats.org/officeDocument/2006/relationships/hyperlink" Target="https://wa.me/92324197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1" Type="http://schemas.openxmlformats.org/officeDocument/2006/relationships/hyperlink" Target="https://wa.me/92312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0" Type="http://schemas.openxmlformats.org/officeDocument/2006/relationships/hyperlink" Target="https://wa.me/92302957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" Type="http://schemas.openxmlformats.org/officeDocument/2006/relationships/hyperlink" Target="https://wa.me/923051234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7" Type="http://schemas.openxmlformats.org/officeDocument/2006/relationships/hyperlink" Target="https://wa.me/923227895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" Type="http://schemas.openxmlformats.org/officeDocument/2006/relationships/hyperlink" Target="https://wa.me/923051234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6" Type="http://schemas.openxmlformats.org/officeDocument/2006/relationships/hyperlink" Target="https://wa.me/92315789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" Type="http://schemas.openxmlformats.org/officeDocument/2006/relationships/hyperlink" Target="https://wa.me/923051234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5" Type="http://schemas.openxmlformats.org/officeDocument/2006/relationships/hyperlink" Target="https://wa.me/923047891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" Type="http://schemas.openxmlformats.org/officeDocument/2006/relationships/hyperlink" Target="https://wa.me/9230512346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4" Type="http://schemas.openxmlformats.org/officeDocument/2006/relationships/hyperlink" Target="https://wa.me/923421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3" Type="http://schemas.openxmlformats.org/officeDocument/2006/relationships/hyperlink" Target="https://wa.me/923314907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2" Type="http://schemas.openxmlformats.org/officeDocument/2006/relationships/hyperlink" Target="https://wa.me/923276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5" Type="http://schemas.openxmlformats.org/officeDocument/2006/relationships/hyperlink" Target="https://wa.me/923020879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4" Type="http://schemas.openxmlformats.org/officeDocument/2006/relationships/hyperlink" Target="https://wa.me/923479056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7" Type="http://schemas.openxmlformats.org/officeDocument/2006/relationships/hyperlink" Target="https://wa.me/923274019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6" Type="http://schemas.openxmlformats.org/officeDocument/2006/relationships/hyperlink" Target="https://wa.me/923149057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9" Type="http://schemas.openxmlformats.org/officeDocument/2006/relationships/hyperlink" Target="https://wa.me/923478509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8" Type="http://schemas.openxmlformats.org/officeDocument/2006/relationships/hyperlink" Target="https://wa.me/92335801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1" Type="http://schemas.openxmlformats.org/officeDocument/2006/relationships/hyperlink" Target="https://wa.me/92312789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0" Type="http://schemas.openxmlformats.org/officeDocument/2006/relationships/hyperlink" Target="https://wa.me/92303687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9" Type="http://schemas.openxmlformats.org/officeDocument/2006/relationships/hyperlink" Target="https://wa.me/92346547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8" Type="http://schemas.openxmlformats.org/officeDocument/2006/relationships/hyperlink" Target="https://wa.me/92334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7" Type="http://schemas.openxmlformats.org/officeDocument/2006/relationships/hyperlink" Target="https://wa.me/923276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2" Type="http://schemas.openxmlformats.org/officeDocument/2006/relationships/hyperlink" Target="https://wa.me/9232517694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1" Type="http://schemas.openxmlformats.org/officeDocument/2006/relationships/hyperlink" Target="https://wa.me/923165897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0" Type="http://schemas.openxmlformats.org/officeDocument/2006/relationships/hyperlink" Target="https://wa.me/923017659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6" Type="http://schemas.openxmlformats.org/officeDocument/2006/relationships/hyperlink" Target="https://wa.me/92312698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5" Type="http://schemas.openxmlformats.org/officeDocument/2006/relationships/hyperlink" Target="https://wa.me/92305987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4" Type="http://schemas.openxmlformats.org/officeDocument/2006/relationships/hyperlink" Target="https://wa.me/9234352190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3" Type="http://schemas.openxmlformats.org/officeDocument/2006/relationships/hyperlink" Target="https://wa.me/923378109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2" Type="http://schemas.openxmlformats.org/officeDocument/2006/relationships/hyperlink" Target="https://wa.me/9232291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1" Type="http://schemas.openxmlformats.org/officeDocument/2006/relationships/hyperlink" Target="https://wa.me/92316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4" Type="http://schemas.openxmlformats.org/officeDocument/2006/relationships/hyperlink" Target="https://wa.me/92341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3" Type="http://schemas.openxmlformats.org/officeDocument/2006/relationships/hyperlink" Target="https://wa.me/92334789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6" Type="http://schemas.openxmlformats.org/officeDocument/2006/relationships/hyperlink" Target="https://wa.me/9231509843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2" Type="http://schemas.openxmlformats.org/officeDocument/2006/relationships/hyperlink" Target="https://wa.me/92324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5" Type="http://schemas.openxmlformats.org/officeDocument/2006/relationships/hyperlink" Target="https://wa.me/92304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1" Type="http://schemas.openxmlformats.org/officeDocument/2006/relationships/hyperlink" Target="https://wa.me/92317598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8" Type="http://schemas.openxmlformats.org/officeDocument/2006/relationships/hyperlink" Target="https://wa.me/9233165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0" Type="http://schemas.openxmlformats.org/officeDocument/2006/relationships/hyperlink" Target="https://wa.me/923041987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7" Type="http://schemas.openxmlformats.org/officeDocument/2006/relationships/hyperlink" Target="https://wa.me/923212987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0" Type="http://schemas.openxmlformats.org/officeDocument/2006/relationships/hyperlink" Target="https://wa.me/923050986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5" Type="http://schemas.openxmlformats.org/officeDocument/2006/relationships/hyperlink" Target="https://wa.me/923068971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9" Type="http://schemas.openxmlformats.org/officeDocument/2006/relationships/hyperlink" Target="https://wa.me/923452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4" Type="http://schemas.openxmlformats.org/officeDocument/2006/relationships/hyperlink" Target="https://wa.me/9234175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3" Type="http://schemas.openxmlformats.org/officeDocument/2006/relationships/hyperlink" Target="https://wa.me/923351780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2" Type="http://schemas.openxmlformats.org/officeDocument/2006/relationships/hyperlink" Target="https://wa.me/9232180547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9" Type="http://schemas.openxmlformats.org/officeDocument/2006/relationships/hyperlink" Target="https://wa.me/923424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8" Type="http://schemas.openxmlformats.org/officeDocument/2006/relationships/hyperlink" Target="https://wa.me/923346917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7" Type="http://schemas.openxmlformats.org/officeDocument/2006/relationships/hyperlink" Target="https://wa.me/923247598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6" Type="http://schemas.openxmlformats.org/officeDocument/2006/relationships/hyperlink" Target="https://wa.me/92315904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1" Type="http://schemas.openxmlformats.org/officeDocument/2006/relationships/hyperlink" Target="https://wa.me/92317098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0" Type="http://schemas.openxmlformats.org/officeDocument/2006/relationships/hyperlink" Target="https://wa.me/92308457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3" Type="http://schemas.openxmlformats.org/officeDocument/2006/relationships/hyperlink" Target="https://wa.me/9233708954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2" Type="http://schemas.openxmlformats.org/officeDocument/2006/relationships/hyperlink" Target="https://wa.me/92326690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5" Type="http://schemas.openxmlformats.org/officeDocument/2006/relationships/hyperlink" Target="https://wa.me/92301879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1" Type="http://schemas.openxmlformats.org/officeDocument/2006/relationships/hyperlink" Target="https://wa.me/923171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4" Type="http://schemas.openxmlformats.org/officeDocument/2006/relationships/hyperlink" Target="https://wa.me/9234459873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0" Type="http://schemas.openxmlformats.org/officeDocument/2006/relationships/hyperlink" Target="https://wa.me/923025789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7" Type="http://schemas.openxmlformats.org/officeDocument/2006/relationships/hyperlink" Target="https://wa.me/92321567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6" Type="http://schemas.openxmlformats.org/officeDocument/2006/relationships/hyperlink" Target="https://wa.me/923197458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9" Type="http://schemas.openxmlformats.org/officeDocument/2006/relationships/hyperlink" Target="https://wa.me/923479845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9" Type="http://schemas.openxmlformats.org/officeDocument/2006/relationships/hyperlink" Target="https://wa.me/923417896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4" Type="http://schemas.openxmlformats.org/officeDocument/2006/relationships/hyperlink" Target="https://wa.me/923465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8" Type="http://schemas.openxmlformats.org/officeDocument/2006/relationships/hyperlink" Target="https://wa.me/92336019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3" Type="http://schemas.openxmlformats.org/officeDocument/2006/relationships/hyperlink" Target="https://wa.me/9233201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2" Type="http://schemas.openxmlformats.org/officeDocument/2006/relationships/hyperlink" Target="https://wa.me/923234981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1" Type="http://schemas.openxmlformats.org/officeDocument/2006/relationships/hyperlink" Target="https://wa.me/92316781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8" Type="http://schemas.openxmlformats.org/officeDocument/2006/relationships/hyperlink" Target="https://wa.me/923347819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7" Type="http://schemas.openxmlformats.org/officeDocument/2006/relationships/hyperlink" Target="https://wa.me/92325108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6" Type="http://schemas.openxmlformats.org/officeDocument/2006/relationships/hyperlink" Target="https://wa.me/92319587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5" Type="http://schemas.openxmlformats.org/officeDocument/2006/relationships/hyperlink" Target="https://wa.me/923018796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7" Type="http://schemas.openxmlformats.org/officeDocument/2006/relationships/hyperlink" Target="https://wa.me/923249871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6" Type="http://schemas.openxmlformats.org/officeDocument/2006/relationships/hyperlink" Target="https://wa.me/9231196754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5" Type="http://schemas.openxmlformats.org/officeDocument/2006/relationships/hyperlink" Target="https://wa.me/92307089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4" Type="http://schemas.openxmlformats.org/officeDocument/2006/relationships/hyperlink" Target="https://wa.me/923451298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9" Type="http://schemas.openxmlformats.org/officeDocument/2006/relationships/hyperlink" Target="https://wa.me/92345698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8" Type="http://schemas.openxmlformats.org/officeDocument/2006/relationships/hyperlink" Target="https://wa.me/923341789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3" Type="http://schemas.openxmlformats.org/officeDocument/2006/relationships/hyperlink" Target="https://wa.me/9233198750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2" Type="http://schemas.openxmlformats.org/officeDocument/2006/relationships/hyperlink" Target="https://wa.me/92325489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1" Type="http://schemas.openxmlformats.org/officeDocument/2006/relationships/hyperlink" Target="https://wa.me/9231709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0" Type="http://schemas.openxmlformats.org/officeDocument/2006/relationships/hyperlink" Target="https://wa.me/92302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9" Type="http://schemas.openxmlformats.org/officeDocument/2006/relationships/hyperlink" Target="https://wa.me/923471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8" Type="http://schemas.openxmlformats.org/officeDocument/2006/relationships/hyperlink" Target="https://wa.me/92335904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7" Type="http://schemas.openxmlformats.org/officeDocument/2006/relationships/hyperlink" Target="https://wa.me/923241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6" Type="http://schemas.openxmlformats.org/officeDocument/2006/relationships/hyperlink" Target="https://wa.me/9231246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1" Type="http://schemas.openxmlformats.org/officeDocument/2006/relationships/hyperlink" Target="https://wa.me/92318967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0" Type="http://schemas.openxmlformats.org/officeDocument/2006/relationships/hyperlink" Target="https://wa.me/9230507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5" Type="http://schemas.openxmlformats.org/officeDocument/2006/relationships/hyperlink" Target="https://wa.me/92302946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4" Type="http://schemas.openxmlformats.org/officeDocument/2006/relationships/hyperlink" Target="https://wa.me/92344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3" Type="http://schemas.openxmlformats.org/officeDocument/2006/relationships/hyperlink" Target="https://wa.me/9233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2" Type="http://schemas.openxmlformats.org/officeDocument/2006/relationships/hyperlink" Target="https://wa.me/923251879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5" Type="http://schemas.openxmlformats.org/officeDocument/2006/relationships/hyperlink" Target="https://wa.me/9230197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4" Type="http://schemas.openxmlformats.org/officeDocument/2006/relationships/hyperlink" Target="https://wa.me/923416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7" Type="http://schemas.openxmlformats.org/officeDocument/2006/relationships/hyperlink" Target="https://wa.me/92321598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6" Type="http://schemas.openxmlformats.org/officeDocument/2006/relationships/hyperlink" Target="https://wa.me/92318970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9" Type="http://schemas.openxmlformats.org/officeDocument/2006/relationships/hyperlink" Target="https://wa.me/9234580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8" Type="http://schemas.openxmlformats.org/officeDocument/2006/relationships/hyperlink" Target="https://wa.me/923370985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1" Type="http://schemas.openxmlformats.org/officeDocument/2006/relationships/hyperlink" Target="https://wa.me/9231277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0" Type="http://schemas.openxmlformats.org/officeDocument/2006/relationships/hyperlink" Target="https://wa.me/92306078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3" Type="http://schemas.openxmlformats.org/officeDocument/2006/relationships/hyperlink" Target="https://wa.me/9233460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2" Type="http://schemas.openxmlformats.org/officeDocument/2006/relationships/hyperlink" Target="https://wa.me/923219045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8" Type="http://schemas.openxmlformats.org/officeDocument/2006/relationships/hyperlink" Target="https://wa.me/92334087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7" Type="http://schemas.openxmlformats.org/officeDocument/2006/relationships/hyperlink" Target="https://wa.me/92327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6" Type="http://schemas.openxmlformats.org/officeDocument/2006/relationships/hyperlink" Target="https://wa.me/923170981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5" Type="http://schemas.openxmlformats.org/officeDocument/2006/relationships/hyperlink" Target="https://wa.me/92305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9" Type="http://schemas.openxmlformats.org/officeDocument/2006/relationships/hyperlink" Target="https://wa.me/923415987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0" Type="http://schemas.openxmlformats.org/officeDocument/2006/relationships/hyperlink" Target="https://wa.me/92302765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4" Type="http://schemas.openxmlformats.org/officeDocument/2006/relationships/hyperlink" Target="https://wa.me/923413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3" Type="http://schemas.openxmlformats.org/officeDocument/2006/relationships/hyperlink" Target="https://wa.me/923350897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2" Type="http://schemas.openxmlformats.org/officeDocument/2006/relationships/hyperlink" Target="https://wa.me/9232176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1" Type="http://schemas.openxmlformats.org/officeDocument/2006/relationships/hyperlink" Target="https://wa.me/92314987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6" Type="http://schemas.openxmlformats.org/officeDocument/2006/relationships/table" Target="../tables/table14.xml"/><Relationship Id="rId205" Type="http://schemas.openxmlformats.org/officeDocument/2006/relationships/table" Target="../tables/table13.xml"/><Relationship Id="rId207" Type="http://schemas.openxmlformats.org/officeDocument/2006/relationships/table" Target="../tables/table15.xml"/><Relationship Id="rId201" Type="http://schemas.openxmlformats.org/officeDocument/2006/relationships/drawing" Target="../drawings/drawing7.xml"/><Relationship Id="rId200" Type="http://schemas.openxmlformats.org/officeDocument/2006/relationships/hyperlink" Target="https://wa.me/923051789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a.me/92309157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0" Type="http://schemas.openxmlformats.org/officeDocument/2006/relationships/hyperlink" Target="https://wa.me/92307859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2" Type="http://schemas.openxmlformats.org/officeDocument/2006/relationships/hyperlink" Target="https://wa.me/92323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1" Type="http://schemas.openxmlformats.org/officeDocument/2006/relationships/hyperlink" Target="https://wa.me/9231447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4" Type="http://schemas.openxmlformats.org/officeDocument/2006/relationships/hyperlink" Target="https://wa.me/923478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4" Type="http://schemas.openxmlformats.org/officeDocument/2006/relationships/hyperlink" Target="https://wa.me/92345879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3" Type="http://schemas.openxmlformats.org/officeDocument/2006/relationships/hyperlink" Target="https://wa.me/9233512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3" Type="http://schemas.openxmlformats.org/officeDocument/2006/relationships/hyperlink" Target="https://wa.me/92332198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6" Type="http://schemas.openxmlformats.org/officeDocument/2006/relationships/hyperlink" Target="https://wa.me/923182045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2" Type="http://schemas.openxmlformats.org/officeDocument/2006/relationships/hyperlink" Target="https://wa.me/923212987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5" Type="http://schemas.openxmlformats.org/officeDocument/2006/relationships/hyperlink" Target="https://wa.me/923066789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1" Type="http://schemas.openxmlformats.org/officeDocument/2006/relationships/hyperlink" Target="https://wa.me/92315790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8" Type="http://schemas.openxmlformats.org/officeDocument/2006/relationships/hyperlink" Target="https://wa.me/923388120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7" Type="http://schemas.openxmlformats.org/officeDocument/2006/relationships/hyperlink" Target="https://wa.me/92324987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7" Type="http://schemas.openxmlformats.org/officeDocument/2006/relationships/hyperlink" Target="https://wa.me/923257890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6" Type="http://schemas.openxmlformats.org/officeDocument/2006/relationships/hyperlink" Target="https://wa.me/923178054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5" Type="http://schemas.openxmlformats.org/officeDocument/2006/relationships/hyperlink" Target="https://wa.me/923050891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9" Type="http://schemas.openxmlformats.org/officeDocument/2006/relationships/hyperlink" Target="https://wa.me/923455879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4" Type="http://schemas.openxmlformats.org/officeDocument/2006/relationships/hyperlink" Target="https://wa.me/92342489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9" Type="http://schemas.openxmlformats.org/officeDocument/2006/relationships/hyperlink" Target="https://wa.me/9234605198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8" Type="http://schemas.openxmlformats.org/officeDocument/2006/relationships/hyperlink" Target="https://wa.me/92337105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1" Type="http://schemas.openxmlformats.org/officeDocument/2006/relationships/hyperlink" Target="https://wa.me/9231559782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0" Type="http://schemas.openxmlformats.org/officeDocument/2006/relationships/hyperlink" Target="https://wa.me/923024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3" Type="http://schemas.openxmlformats.org/officeDocument/2006/relationships/hyperlink" Target="https://wa.me/923370895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3" Type="http://schemas.openxmlformats.org/officeDocument/2006/relationships/hyperlink" Target="https://wa.me/923346901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2" Type="http://schemas.openxmlformats.org/officeDocument/2006/relationships/hyperlink" Target="https://wa.me/92324489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2" Type="http://schemas.openxmlformats.org/officeDocument/2006/relationships/hyperlink" Target="https://wa.me/923247019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5" Type="http://schemas.openxmlformats.org/officeDocument/2006/relationships/hyperlink" Target="https://wa.me/9230687512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1" Type="http://schemas.openxmlformats.org/officeDocument/2006/relationships/hyperlink" Target="https://wa.me/923116904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4" Type="http://schemas.openxmlformats.org/officeDocument/2006/relationships/hyperlink" Target="https://wa.me/923460895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0" Type="http://schemas.openxmlformats.org/officeDocument/2006/relationships/hyperlink" Target="https://wa.me/923051987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7" Type="http://schemas.openxmlformats.org/officeDocument/2006/relationships/hyperlink" Target="https://wa.me/9232445781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6" Type="http://schemas.openxmlformats.org/officeDocument/2006/relationships/hyperlink" Target="https://wa.me/9231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6" Type="http://schemas.openxmlformats.org/officeDocument/2006/relationships/hyperlink" Target="https://wa.me/923199457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5" Type="http://schemas.openxmlformats.org/officeDocument/2006/relationships/hyperlink" Target="https://wa.me/923046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9" Type="http://schemas.openxmlformats.org/officeDocument/2006/relationships/hyperlink" Target="https://wa.me/92341789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4" Type="http://schemas.openxmlformats.org/officeDocument/2006/relationships/hyperlink" Target="https://wa.me/923419876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8" Type="http://schemas.openxmlformats.org/officeDocument/2006/relationships/hyperlink" Target="https://wa.me/9233219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3" Type="http://schemas.openxmlformats.org/officeDocument/2006/relationships/hyperlink" Target="https://wa.me/923357890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9" Type="http://schemas.openxmlformats.org/officeDocument/2006/relationships/hyperlink" Target="https://wa.me/923417896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8" Type="http://schemas.openxmlformats.org/officeDocument/2006/relationships/hyperlink" Target="https://wa.me/923329054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7" Type="http://schemas.openxmlformats.org/officeDocument/2006/relationships/hyperlink" Target="https://wa.me/92324189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" Type="http://schemas.openxmlformats.org/officeDocument/2006/relationships/hyperlink" Target="https://wa.me/92304598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2" Type="http://schemas.openxmlformats.org/officeDocument/2006/relationships/hyperlink" Target="https://wa.me/92328165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1" Type="http://schemas.openxmlformats.org/officeDocument/2006/relationships/hyperlink" Target="https://wa.me/9231240589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4" Type="http://schemas.openxmlformats.org/officeDocument/2006/relationships/hyperlink" Target="https://wa.me/9234198760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3" Type="http://schemas.openxmlformats.org/officeDocument/2006/relationships/hyperlink" Target="https://wa.me/923347890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6" Type="http://schemas.openxmlformats.org/officeDocument/2006/relationships/hyperlink" Target="https://wa.me/92317690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5" Type="http://schemas.openxmlformats.org/officeDocument/2006/relationships/hyperlink" Target="https://wa.me/923015894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8" Type="http://schemas.openxmlformats.org/officeDocument/2006/relationships/hyperlink" Target="https://wa.me/923365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7" Type="http://schemas.openxmlformats.org/officeDocument/2006/relationships/hyperlink" Target="https://wa.me/923298145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9" Type="http://schemas.openxmlformats.org/officeDocument/2006/relationships/hyperlink" Target="https://wa.me/9234765198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" Type="http://schemas.openxmlformats.org/officeDocument/2006/relationships/hyperlink" Target="https://wa.me/9230512346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" Type="http://schemas.openxmlformats.org/officeDocument/2006/relationships/hyperlink" Target="https://wa.me/923051234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" Type="http://schemas.openxmlformats.org/officeDocument/2006/relationships/hyperlink" Target="https://wa.me/92335780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" Type="http://schemas.openxmlformats.org/officeDocument/2006/relationships/hyperlink" Target="https://wa.me/9230512346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" Type="http://schemas.openxmlformats.org/officeDocument/2006/relationships/hyperlink" Target="https://wa.me/923084659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8" Type="http://schemas.openxmlformats.org/officeDocument/2006/relationships/hyperlink" Target="https://wa.me/923347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" Type="http://schemas.openxmlformats.org/officeDocument/2006/relationships/hyperlink" Target="https://wa.me/9234560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7" Type="http://schemas.openxmlformats.org/officeDocument/2006/relationships/hyperlink" Target="https://wa.me/92326598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" Type="http://schemas.openxmlformats.org/officeDocument/2006/relationships/hyperlink" Target="https://wa.me/9232514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6" Type="http://schemas.openxmlformats.org/officeDocument/2006/relationships/hyperlink" Target="https://wa.me/923195874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" Type="http://schemas.openxmlformats.org/officeDocument/2006/relationships/hyperlink" Target="https://wa.me/923197854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5" Type="http://schemas.openxmlformats.org/officeDocument/2006/relationships/hyperlink" Target="https://wa.me/923065894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" Type="http://schemas.openxmlformats.org/officeDocument/2006/relationships/hyperlink" Target="https://wa.me/9234557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8" Type="http://schemas.openxmlformats.org/officeDocument/2006/relationships/hyperlink" Target="https://wa.me/923319874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99" Type="http://schemas.openxmlformats.org/officeDocument/2006/relationships/hyperlink" Target="https://wa.me/923456918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4" Type="http://schemas.openxmlformats.org/officeDocument/2006/relationships/hyperlink" Target="https://wa.me/9234502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3" Type="http://schemas.openxmlformats.org/officeDocument/2006/relationships/hyperlink" Target="https://wa.me/9233460198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6" Type="http://schemas.openxmlformats.org/officeDocument/2006/relationships/hyperlink" Target="https://wa.me/923157908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5" Type="http://schemas.openxmlformats.org/officeDocument/2006/relationships/hyperlink" Target="https://wa.me/92309078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8" Type="http://schemas.openxmlformats.org/officeDocument/2006/relationships/hyperlink" Target="https://wa.me/9233251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0" Type="http://schemas.openxmlformats.org/officeDocument/2006/relationships/hyperlink" Target="https://wa.me/9230517890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7" Type="http://schemas.openxmlformats.org/officeDocument/2006/relationships/hyperlink" Target="https://wa.me/923249710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9" Type="http://schemas.openxmlformats.org/officeDocument/2006/relationships/hyperlink" Target="https://wa.me/92341279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0" Type="http://schemas.openxmlformats.org/officeDocument/2006/relationships/hyperlink" Target="https://wa.me/9230159824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2" Type="http://schemas.openxmlformats.org/officeDocument/2006/relationships/hyperlink" Target="https://wa.me/92324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1" Type="http://schemas.openxmlformats.org/officeDocument/2006/relationships/hyperlink" Target="https://wa.me/923149780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" Type="http://schemas.openxmlformats.org/officeDocument/2006/relationships/hyperlink" Target="https://wa.me/92305123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" Type="http://schemas.openxmlformats.org/officeDocument/2006/relationships/hyperlink" Target="https://wa.me/923051234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3" Type="http://schemas.openxmlformats.org/officeDocument/2006/relationships/hyperlink" Target="https://wa.me/923051234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9" Type="http://schemas.openxmlformats.org/officeDocument/2006/relationships/hyperlink" Target="https://wa.me/923414897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4" Type="http://schemas.openxmlformats.org/officeDocument/2006/relationships/hyperlink" Target="https://wa.me/9230512345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8" Type="http://schemas.openxmlformats.org/officeDocument/2006/relationships/hyperlink" Target="https://wa.me/92336975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" Type="http://schemas.openxmlformats.org/officeDocument/2006/relationships/hyperlink" Target="https://wa.me/923051234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3" Type="http://schemas.openxmlformats.org/officeDocument/2006/relationships/hyperlink" Target="https://wa.me/9233159840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2" Type="http://schemas.openxmlformats.org/officeDocument/2006/relationships/hyperlink" Target="https://wa.me/923241978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1" Type="http://schemas.openxmlformats.org/officeDocument/2006/relationships/hyperlink" Target="https://wa.me/92312478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0" Type="http://schemas.openxmlformats.org/officeDocument/2006/relationships/hyperlink" Target="https://wa.me/923029578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" Type="http://schemas.openxmlformats.org/officeDocument/2006/relationships/hyperlink" Target="https://wa.me/923051234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7" Type="http://schemas.openxmlformats.org/officeDocument/2006/relationships/hyperlink" Target="https://wa.me/9232278951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" Type="http://schemas.openxmlformats.org/officeDocument/2006/relationships/hyperlink" Target="https://wa.me/923051234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6" Type="http://schemas.openxmlformats.org/officeDocument/2006/relationships/hyperlink" Target="https://wa.me/92315789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" Type="http://schemas.openxmlformats.org/officeDocument/2006/relationships/hyperlink" Target="https://wa.me/923051234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5" Type="http://schemas.openxmlformats.org/officeDocument/2006/relationships/hyperlink" Target="https://wa.me/923047891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8" Type="http://schemas.openxmlformats.org/officeDocument/2006/relationships/hyperlink" Target="https://wa.me/9230512346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44" Type="http://schemas.openxmlformats.org/officeDocument/2006/relationships/hyperlink" Target="https://wa.me/923421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3" Type="http://schemas.openxmlformats.org/officeDocument/2006/relationships/hyperlink" Target="https://wa.me/923314907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2" Type="http://schemas.openxmlformats.org/officeDocument/2006/relationships/hyperlink" Target="https://wa.me/923276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5" Type="http://schemas.openxmlformats.org/officeDocument/2006/relationships/hyperlink" Target="https://wa.me/923020879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4" Type="http://schemas.openxmlformats.org/officeDocument/2006/relationships/hyperlink" Target="https://wa.me/923479056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7" Type="http://schemas.openxmlformats.org/officeDocument/2006/relationships/hyperlink" Target="https://wa.me/9232740198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6" Type="http://schemas.openxmlformats.org/officeDocument/2006/relationships/hyperlink" Target="https://wa.me/923149057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9" Type="http://schemas.openxmlformats.org/officeDocument/2006/relationships/hyperlink" Target="https://wa.me/9234785092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8" Type="http://schemas.openxmlformats.org/officeDocument/2006/relationships/hyperlink" Target="https://wa.me/92335801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1" Type="http://schemas.openxmlformats.org/officeDocument/2006/relationships/hyperlink" Target="https://wa.me/92312789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70" Type="http://schemas.openxmlformats.org/officeDocument/2006/relationships/hyperlink" Target="https://wa.me/92303687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9" Type="http://schemas.openxmlformats.org/officeDocument/2006/relationships/hyperlink" Target="https://wa.me/92346547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8" Type="http://schemas.openxmlformats.org/officeDocument/2006/relationships/hyperlink" Target="https://wa.me/92334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7" Type="http://schemas.openxmlformats.org/officeDocument/2006/relationships/hyperlink" Target="https://wa.me/923276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2" Type="http://schemas.openxmlformats.org/officeDocument/2006/relationships/hyperlink" Target="https://wa.me/9232517694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1" Type="http://schemas.openxmlformats.org/officeDocument/2006/relationships/hyperlink" Target="https://wa.me/923165897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0" Type="http://schemas.openxmlformats.org/officeDocument/2006/relationships/hyperlink" Target="https://wa.me/9230176598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6" Type="http://schemas.openxmlformats.org/officeDocument/2006/relationships/hyperlink" Target="https://wa.me/923126981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5" Type="http://schemas.openxmlformats.org/officeDocument/2006/relationships/hyperlink" Target="https://wa.me/92305987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4" Type="http://schemas.openxmlformats.org/officeDocument/2006/relationships/hyperlink" Target="https://wa.me/9234352190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33" Type="http://schemas.openxmlformats.org/officeDocument/2006/relationships/hyperlink" Target="https://wa.me/9233781096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2" Type="http://schemas.openxmlformats.org/officeDocument/2006/relationships/hyperlink" Target="https://wa.me/9232291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1" Type="http://schemas.openxmlformats.org/officeDocument/2006/relationships/hyperlink" Target="https://wa.me/92316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4" Type="http://schemas.openxmlformats.org/officeDocument/2006/relationships/hyperlink" Target="https://wa.me/92341690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3" Type="http://schemas.openxmlformats.org/officeDocument/2006/relationships/hyperlink" Target="https://wa.me/92334789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6" Type="http://schemas.openxmlformats.org/officeDocument/2006/relationships/hyperlink" Target="https://wa.me/9231509843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2" Type="http://schemas.openxmlformats.org/officeDocument/2006/relationships/hyperlink" Target="https://wa.me/92324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5" Type="http://schemas.openxmlformats.org/officeDocument/2006/relationships/hyperlink" Target="https://wa.me/92304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1" Type="http://schemas.openxmlformats.org/officeDocument/2006/relationships/hyperlink" Target="https://wa.me/923175981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8" Type="http://schemas.openxmlformats.org/officeDocument/2006/relationships/hyperlink" Target="https://wa.me/92331657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70" Type="http://schemas.openxmlformats.org/officeDocument/2006/relationships/hyperlink" Target="https://wa.me/923041987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7" Type="http://schemas.openxmlformats.org/officeDocument/2006/relationships/hyperlink" Target="https://wa.me/923212987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0" Type="http://schemas.openxmlformats.org/officeDocument/2006/relationships/hyperlink" Target="https://wa.me/923050986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5" Type="http://schemas.openxmlformats.org/officeDocument/2006/relationships/hyperlink" Target="https://wa.me/923068971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69" Type="http://schemas.openxmlformats.org/officeDocument/2006/relationships/hyperlink" Target="https://wa.me/9234529876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4" Type="http://schemas.openxmlformats.org/officeDocument/2006/relationships/hyperlink" Target="https://wa.me/923417589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3" Type="http://schemas.openxmlformats.org/officeDocument/2006/relationships/hyperlink" Target="https://wa.me/923351780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2" Type="http://schemas.openxmlformats.org/officeDocument/2006/relationships/hyperlink" Target="https://wa.me/92321805479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9" Type="http://schemas.openxmlformats.org/officeDocument/2006/relationships/hyperlink" Target="https://wa.me/923424987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8" Type="http://schemas.openxmlformats.org/officeDocument/2006/relationships/hyperlink" Target="https://wa.me/92334691758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7" Type="http://schemas.openxmlformats.org/officeDocument/2006/relationships/hyperlink" Target="https://wa.me/923247598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6" Type="http://schemas.openxmlformats.org/officeDocument/2006/relationships/hyperlink" Target="https://wa.me/92315904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1" Type="http://schemas.openxmlformats.org/officeDocument/2006/relationships/hyperlink" Target="https://wa.me/92317098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0" Type="http://schemas.openxmlformats.org/officeDocument/2006/relationships/hyperlink" Target="https://wa.me/923084579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3" Type="http://schemas.openxmlformats.org/officeDocument/2006/relationships/hyperlink" Target="https://wa.me/9233708954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2" Type="http://schemas.openxmlformats.org/officeDocument/2006/relationships/hyperlink" Target="https://wa.me/92326690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5" Type="http://schemas.openxmlformats.org/officeDocument/2006/relationships/hyperlink" Target="https://wa.me/92301879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1" Type="http://schemas.openxmlformats.org/officeDocument/2006/relationships/hyperlink" Target="https://wa.me/923171980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4" Type="http://schemas.openxmlformats.org/officeDocument/2006/relationships/hyperlink" Target="https://wa.me/9234459873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60" Type="http://schemas.openxmlformats.org/officeDocument/2006/relationships/hyperlink" Target="https://wa.me/9230257894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7" Type="http://schemas.openxmlformats.org/officeDocument/2006/relationships/hyperlink" Target="https://wa.me/9232156789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6" Type="http://schemas.openxmlformats.org/officeDocument/2006/relationships/hyperlink" Target="https://wa.me/9231974589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9" Type="http://schemas.openxmlformats.org/officeDocument/2006/relationships/hyperlink" Target="https://wa.me/923479845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9" Type="http://schemas.openxmlformats.org/officeDocument/2006/relationships/hyperlink" Target="https://wa.me/923417896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4" Type="http://schemas.openxmlformats.org/officeDocument/2006/relationships/hyperlink" Target="https://wa.me/9234658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58" Type="http://schemas.openxmlformats.org/officeDocument/2006/relationships/hyperlink" Target="https://wa.me/9233601987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3" Type="http://schemas.openxmlformats.org/officeDocument/2006/relationships/hyperlink" Target="https://wa.me/9233201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2" Type="http://schemas.openxmlformats.org/officeDocument/2006/relationships/hyperlink" Target="https://wa.me/923234981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1" Type="http://schemas.openxmlformats.org/officeDocument/2006/relationships/hyperlink" Target="https://wa.me/923167810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8" Type="http://schemas.openxmlformats.org/officeDocument/2006/relationships/hyperlink" Target="https://wa.me/923347819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7" Type="http://schemas.openxmlformats.org/officeDocument/2006/relationships/hyperlink" Target="https://wa.me/923251089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6" Type="http://schemas.openxmlformats.org/officeDocument/2006/relationships/hyperlink" Target="https://wa.me/923195871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55" Type="http://schemas.openxmlformats.org/officeDocument/2006/relationships/hyperlink" Target="https://wa.me/923018796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7" Type="http://schemas.openxmlformats.org/officeDocument/2006/relationships/hyperlink" Target="https://wa.me/923249871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6" Type="http://schemas.openxmlformats.org/officeDocument/2006/relationships/hyperlink" Target="https://wa.me/9231196754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5" Type="http://schemas.openxmlformats.org/officeDocument/2006/relationships/hyperlink" Target="https://wa.me/92307089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4" Type="http://schemas.openxmlformats.org/officeDocument/2006/relationships/hyperlink" Target="https://wa.me/9234512987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9" Type="http://schemas.openxmlformats.org/officeDocument/2006/relationships/hyperlink" Target="https://wa.me/9234569871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8" Type="http://schemas.openxmlformats.org/officeDocument/2006/relationships/hyperlink" Target="https://wa.me/9233417890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3" Type="http://schemas.openxmlformats.org/officeDocument/2006/relationships/hyperlink" Target="https://wa.me/9233198750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2" Type="http://schemas.openxmlformats.org/officeDocument/2006/relationships/hyperlink" Target="https://wa.me/923254897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1" Type="http://schemas.openxmlformats.org/officeDocument/2006/relationships/hyperlink" Target="https://wa.me/9231709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00" Type="http://schemas.openxmlformats.org/officeDocument/2006/relationships/hyperlink" Target="https://wa.me/9230219875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9" Type="http://schemas.openxmlformats.org/officeDocument/2006/relationships/hyperlink" Target="https://wa.me/923471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8" Type="http://schemas.openxmlformats.org/officeDocument/2006/relationships/hyperlink" Target="https://wa.me/9233590487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7" Type="http://schemas.openxmlformats.org/officeDocument/2006/relationships/hyperlink" Target="https://wa.me/923241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6" Type="http://schemas.openxmlformats.org/officeDocument/2006/relationships/hyperlink" Target="https://wa.me/9231246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1" Type="http://schemas.openxmlformats.org/officeDocument/2006/relationships/hyperlink" Target="https://wa.me/923189674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0" Type="http://schemas.openxmlformats.org/officeDocument/2006/relationships/hyperlink" Target="https://wa.me/923050798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5" Type="http://schemas.openxmlformats.org/officeDocument/2006/relationships/hyperlink" Target="https://wa.me/923029467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4" Type="http://schemas.openxmlformats.org/officeDocument/2006/relationships/hyperlink" Target="https://wa.me/9234478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3" Type="http://schemas.openxmlformats.org/officeDocument/2006/relationships/hyperlink" Target="https://wa.me/923368790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22" Type="http://schemas.openxmlformats.org/officeDocument/2006/relationships/hyperlink" Target="https://wa.me/9232518796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5" Type="http://schemas.openxmlformats.org/officeDocument/2006/relationships/hyperlink" Target="https://wa.me/9230197845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4" Type="http://schemas.openxmlformats.org/officeDocument/2006/relationships/hyperlink" Target="https://wa.me/92341689057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7" Type="http://schemas.openxmlformats.org/officeDocument/2006/relationships/hyperlink" Target="https://wa.me/923215980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6" Type="http://schemas.openxmlformats.org/officeDocument/2006/relationships/hyperlink" Target="https://wa.me/9231897045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9" Type="http://schemas.openxmlformats.org/officeDocument/2006/relationships/hyperlink" Target="https://wa.me/923458097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8" Type="http://schemas.openxmlformats.org/officeDocument/2006/relationships/hyperlink" Target="https://wa.me/9233709854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1" Type="http://schemas.openxmlformats.org/officeDocument/2006/relationships/hyperlink" Target="https://wa.me/9231277845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0" Type="http://schemas.openxmlformats.org/officeDocument/2006/relationships/hyperlink" Target="https://wa.me/92306078945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3" Type="http://schemas.openxmlformats.org/officeDocument/2006/relationships/hyperlink" Target="https://wa.me/9233460798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92" Type="http://schemas.openxmlformats.org/officeDocument/2006/relationships/hyperlink" Target="https://wa.me/92321904576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8" Type="http://schemas.openxmlformats.org/officeDocument/2006/relationships/hyperlink" Target="https://wa.me/92334087651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7" Type="http://schemas.openxmlformats.org/officeDocument/2006/relationships/hyperlink" Target="https://wa.me/9232768901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6" Type="http://schemas.openxmlformats.org/officeDocument/2006/relationships/hyperlink" Target="https://wa.me/92317098123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5" Type="http://schemas.openxmlformats.org/officeDocument/2006/relationships/hyperlink" Target="https://wa.me/9230510987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9" Type="http://schemas.openxmlformats.org/officeDocument/2006/relationships/hyperlink" Target="https://wa.me/9234159876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0" Type="http://schemas.openxmlformats.org/officeDocument/2006/relationships/hyperlink" Target="https://wa.me/92302765890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4" Type="http://schemas.openxmlformats.org/officeDocument/2006/relationships/hyperlink" Target="https://wa.me/9234130985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3" Type="http://schemas.openxmlformats.org/officeDocument/2006/relationships/hyperlink" Target="https://wa.me/9233508976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2" Type="http://schemas.openxmlformats.org/officeDocument/2006/relationships/hyperlink" Target="https://wa.me/92321769804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111" Type="http://schemas.openxmlformats.org/officeDocument/2006/relationships/hyperlink" Target="https://wa.me/9231498710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Relationship Id="rId206" Type="http://schemas.openxmlformats.org/officeDocument/2006/relationships/table" Target="../tables/table17.xml"/><Relationship Id="rId205" Type="http://schemas.openxmlformats.org/officeDocument/2006/relationships/table" Target="../tables/table16.xml"/><Relationship Id="rId207" Type="http://schemas.openxmlformats.org/officeDocument/2006/relationships/table" Target="../tables/table18.xml"/><Relationship Id="rId201" Type="http://schemas.openxmlformats.org/officeDocument/2006/relationships/drawing" Target="../drawings/drawing8.xml"/><Relationship Id="rId200" Type="http://schemas.openxmlformats.org/officeDocument/2006/relationships/hyperlink" Target="https://wa.me/92305178942?text=%D8%A7%D9%84%D8%B3%D9%84%D8%A7%D9%85%20%D8%B9%D9%84%DB%8C%DA%A9%D9%85%20%D8%AC%D9%86%D8%A7%D8%A8%D8%8C%20%D8%A8%D8%B1%D8%A7%DB%81%20%DA%A9%D8%B1%D9%85%20%DA%A9%D9%85%DB%8C%D9%88%D9%86%D9%B9%DB%8C%20%DA%86%DB%8C%D8%B1%DB%8C%D9%B9%DB%8C%20%DA%A9%DB%92%20%D9%84%DB%8C%DB%92%20%D8%AA%D8%B9%D8%A7%D9%88%D9%86%20%D9%81%D8%B1%D9%85%D8%A7%D8%A6%DB%8C%DA%BA%DB%94%20%D8%B4%DA%A9%D8%B1%DB%8C%DB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13.5"/>
    <col customWidth="1" min="3" max="3" width="13.38"/>
    <col customWidth="1" min="4" max="4" width="9.63"/>
    <col customWidth="1" min="5" max="5" width="28.38"/>
    <col customWidth="1" min="6" max="6" width="28.5"/>
    <col customWidth="1" min="7" max="7" width="15.63"/>
    <col customWidth="1" min="8" max="8" width="8.0"/>
    <col customWidth="1" min="9" max="9" width="39.0"/>
    <col customWidth="1" min="10" max="10" width="16.63"/>
    <col customWidth="1" min="11" max="11" width="5.0"/>
    <col customWidth="1" min="12" max="12" width="18.38"/>
    <col customWidth="1" min="13" max="13" width="12.63"/>
  </cols>
  <sheetData>
    <row r="1">
      <c r="A1" s="1" t="s">
        <v>0</v>
      </c>
      <c r="K1" s="2"/>
      <c r="L1" s="2"/>
      <c r="M1" s="2"/>
    </row>
    <row r="2">
      <c r="A2" s="3" t="str">
        <f>CONCATENATE(COUNTIF($A$5:$A$260,TRUE), "/", COUNTA(C5:C2060), " Charity  Collected")</f>
        <v>0/200 Charity  Collected</v>
      </c>
      <c r="E2" s="4" t="s">
        <v>1</v>
      </c>
      <c r="G2" s="5">
        <f>SUMIF(A:A,True,F:F)</f>
        <v>0</v>
      </c>
      <c r="H2" s="5"/>
      <c r="I2" s="6" t="s">
        <v>2</v>
      </c>
      <c r="J2" s="5">
        <f>Income_Sheet_2[[#TOTALS],[Amount]]-Expense_Sheet_2[[#TOTALS],[Amount]]</f>
        <v>-175000</v>
      </c>
      <c r="K2" s="5"/>
      <c r="L2" s="5"/>
      <c r="M2" s="2"/>
    </row>
    <row r="3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</row>
    <row r="4" ht="22.5" customHeight="1">
      <c r="A4" s="9" t="s">
        <v>3</v>
      </c>
      <c r="B4" s="9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0" t="s">
        <v>9</v>
      </c>
      <c r="I4" s="12" t="s">
        <v>10</v>
      </c>
      <c r="J4" s="12" t="s">
        <v>8</v>
      </c>
      <c r="L4" s="12" t="s">
        <v>11</v>
      </c>
      <c r="M4" s="13" t="s">
        <v>8</v>
      </c>
    </row>
    <row r="5" ht="22.5" customHeight="1">
      <c r="A5" s="14" t="b">
        <v>0</v>
      </c>
      <c r="B5" s="15">
        <v>1.0</v>
      </c>
      <c r="C5" s="16" t="s">
        <v>12</v>
      </c>
      <c r="D5" s="17" t="s">
        <v>13</v>
      </c>
      <c r="E5" s="18" t="s">
        <v>14</v>
      </c>
      <c r="F5" s="16">
        <v>500.0</v>
      </c>
      <c r="G5" s="19"/>
      <c r="I5" s="20" t="s">
        <v>15</v>
      </c>
      <c r="J5" s="21">
        <v>50000.0</v>
      </c>
      <c r="L5" s="20" t="s">
        <v>16</v>
      </c>
      <c r="M5" s="21">
        <f>G2</f>
        <v>0</v>
      </c>
    </row>
    <row r="6" ht="22.5" customHeight="1">
      <c r="A6" s="22" t="b">
        <v>0</v>
      </c>
      <c r="B6" s="23">
        <v>2.0</v>
      </c>
      <c r="C6" s="24" t="s">
        <v>17</v>
      </c>
      <c r="D6" s="25" t="s">
        <v>18</v>
      </c>
      <c r="E6" s="26" t="s">
        <v>19</v>
      </c>
      <c r="F6" s="27">
        <v>1000.0</v>
      </c>
      <c r="G6" s="28"/>
      <c r="I6" s="29" t="s">
        <v>20</v>
      </c>
      <c r="J6" s="21">
        <f>100000</f>
        <v>100000</v>
      </c>
      <c r="L6" s="20" t="s">
        <v>21</v>
      </c>
      <c r="M6" s="21">
        <v>0.0</v>
      </c>
    </row>
    <row r="7" ht="22.5" customHeight="1">
      <c r="A7" s="14" t="b">
        <v>0</v>
      </c>
      <c r="B7" s="15">
        <v>3.0</v>
      </c>
      <c r="C7" s="16" t="s">
        <v>22</v>
      </c>
      <c r="D7" s="17" t="s">
        <v>23</v>
      </c>
      <c r="E7" s="18" t="s">
        <v>24</v>
      </c>
      <c r="F7" s="30">
        <v>2000.0</v>
      </c>
      <c r="G7" s="19"/>
      <c r="I7" s="29" t="s">
        <v>25</v>
      </c>
      <c r="J7" s="21">
        <v>25000.0</v>
      </c>
    </row>
    <row r="8" ht="22.5" customHeight="1">
      <c r="A8" s="22" t="b">
        <v>0</v>
      </c>
      <c r="B8" s="23">
        <v>4.0</v>
      </c>
      <c r="C8" s="24" t="s">
        <v>26</v>
      </c>
      <c r="D8" s="25" t="s">
        <v>27</v>
      </c>
      <c r="E8" s="26" t="s">
        <v>28</v>
      </c>
      <c r="F8" s="27">
        <v>5000.0</v>
      </c>
      <c r="G8" s="28"/>
      <c r="L8" s="31"/>
      <c r="M8" s="21"/>
    </row>
    <row r="9" ht="22.5" customHeight="1">
      <c r="A9" s="14" t="b">
        <v>0</v>
      </c>
      <c r="B9" s="15">
        <v>5.0</v>
      </c>
      <c r="C9" s="16" t="s">
        <v>29</v>
      </c>
      <c r="D9" s="32" t="s">
        <v>30</v>
      </c>
      <c r="E9" s="18" t="s">
        <v>31</v>
      </c>
      <c r="F9" s="16">
        <v>300.0</v>
      </c>
      <c r="G9" s="19"/>
      <c r="I9" s="33"/>
      <c r="J9" s="21"/>
      <c r="L9" s="31"/>
      <c r="M9" s="21"/>
    </row>
    <row r="10" ht="22.5" customHeight="1">
      <c r="A10" s="22" t="b">
        <v>0</v>
      </c>
      <c r="B10" s="23">
        <v>6.0</v>
      </c>
      <c r="C10" s="24" t="s">
        <v>32</v>
      </c>
      <c r="D10" s="34" t="s">
        <v>33</v>
      </c>
      <c r="E10" s="26" t="s">
        <v>34</v>
      </c>
      <c r="F10" s="27">
        <v>1500.0</v>
      </c>
      <c r="G10" s="28"/>
      <c r="I10" s="33"/>
      <c r="J10" s="21"/>
      <c r="L10" s="31"/>
      <c r="M10" s="21"/>
    </row>
    <row r="11" ht="22.5" customHeight="1">
      <c r="A11" s="14" t="b">
        <v>0</v>
      </c>
      <c r="B11" s="15">
        <v>7.0</v>
      </c>
      <c r="C11" s="16" t="s">
        <v>35</v>
      </c>
      <c r="D11" s="32" t="s">
        <v>36</v>
      </c>
      <c r="E11" s="18" t="s">
        <v>37</v>
      </c>
      <c r="F11" s="30">
        <v>2500.0</v>
      </c>
      <c r="G11" s="35"/>
      <c r="I11" s="29"/>
      <c r="J11" s="21"/>
      <c r="L11" s="31"/>
      <c r="M11" s="21"/>
    </row>
    <row r="12" ht="22.5" customHeight="1">
      <c r="A12" s="22" t="b">
        <v>0</v>
      </c>
      <c r="B12" s="23">
        <v>8.0</v>
      </c>
      <c r="C12" s="24" t="s">
        <v>38</v>
      </c>
      <c r="D12" s="34" t="s">
        <v>39</v>
      </c>
      <c r="E12" s="26" t="s">
        <v>40</v>
      </c>
      <c r="F12" s="24">
        <v>200.0</v>
      </c>
      <c r="G12" s="28"/>
      <c r="I12" s="29"/>
      <c r="J12" s="21"/>
      <c r="L12" s="31"/>
      <c r="M12" s="21" t="str">
        <f t="shared" ref="M12:M13" si="1">G9</f>
        <v/>
      </c>
    </row>
    <row r="13" ht="22.5" customHeight="1">
      <c r="A13" s="14" t="b">
        <v>0</v>
      </c>
      <c r="B13" s="15">
        <v>9.0</v>
      </c>
      <c r="C13" s="16" t="s">
        <v>41</v>
      </c>
      <c r="D13" s="32" t="s">
        <v>42</v>
      </c>
      <c r="E13" s="18" t="s">
        <v>43</v>
      </c>
      <c r="F13" s="30">
        <v>1000.0</v>
      </c>
      <c r="G13" s="19"/>
      <c r="I13" s="29"/>
      <c r="J13" s="21"/>
      <c r="L13" s="31"/>
      <c r="M13" s="21" t="str">
        <f t="shared" si="1"/>
        <v/>
      </c>
    </row>
    <row r="14" ht="22.5" customHeight="1">
      <c r="A14" s="22" t="b">
        <v>0</v>
      </c>
      <c r="B14" s="23">
        <v>10.0</v>
      </c>
      <c r="C14" s="24" t="s">
        <v>44</v>
      </c>
      <c r="D14" s="34" t="s">
        <v>45</v>
      </c>
      <c r="E14" s="26" t="s">
        <v>46</v>
      </c>
      <c r="F14" s="27">
        <v>3000.0</v>
      </c>
      <c r="G14" s="28"/>
      <c r="I14" s="36" t="s">
        <v>47</v>
      </c>
      <c r="J14" s="37">
        <f>Sum(Expense_Sheet_2[Amount])</f>
        <v>175000</v>
      </c>
      <c r="L14" s="31"/>
      <c r="M14" s="21"/>
    </row>
    <row r="15" ht="26.25" customHeight="1">
      <c r="A15" s="14" t="b">
        <v>0</v>
      </c>
      <c r="B15" s="15">
        <v>11.0</v>
      </c>
      <c r="C15" s="16" t="s">
        <v>48</v>
      </c>
      <c r="D15" s="32" t="s">
        <v>49</v>
      </c>
      <c r="E15" s="18" t="s">
        <v>50</v>
      </c>
      <c r="F15" s="16">
        <v>700.0</v>
      </c>
      <c r="G15" s="19"/>
      <c r="L15" s="36" t="s">
        <v>47</v>
      </c>
      <c r="M15" s="37">
        <f>Sum(Income_Sheet_2[Amount])</f>
        <v>0</v>
      </c>
    </row>
    <row r="16" ht="26.25" customHeight="1">
      <c r="A16" s="22" t="b">
        <v>0</v>
      </c>
      <c r="B16" s="23">
        <v>12.0</v>
      </c>
      <c r="C16" s="24" t="s">
        <v>51</v>
      </c>
      <c r="D16" s="34" t="s">
        <v>52</v>
      </c>
      <c r="E16" s="26" t="s">
        <v>53</v>
      </c>
      <c r="F16" s="27">
        <v>2000.0</v>
      </c>
      <c r="G16" s="28"/>
    </row>
    <row r="17" ht="26.25" customHeight="1">
      <c r="A17" s="14" t="b">
        <v>0</v>
      </c>
      <c r="B17" s="15">
        <v>13.0</v>
      </c>
      <c r="C17" s="16" t="s">
        <v>54</v>
      </c>
      <c r="D17" s="32" t="s">
        <v>55</v>
      </c>
      <c r="E17" s="18" t="s">
        <v>56</v>
      </c>
      <c r="F17" s="30">
        <v>5000.0</v>
      </c>
      <c r="G17" s="19"/>
    </row>
    <row r="18" ht="26.25" customHeight="1">
      <c r="A18" s="22" t="b">
        <v>0</v>
      </c>
      <c r="B18" s="23">
        <v>14.0</v>
      </c>
      <c r="C18" s="24" t="s">
        <v>57</v>
      </c>
      <c r="D18" s="34" t="s">
        <v>58</v>
      </c>
      <c r="E18" s="26" t="s">
        <v>59</v>
      </c>
      <c r="F18" s="24">
        <v>400.0</v>
      </c>
      <c r="G18" s="28"/>
      <c r="I18" s="38" t="s">
        <v>60</v>
      </c>
      <c r="L18" s="39"/>
      <c r="M18" s="40"/>
    </row>
    <row r="19" ht="26.25" customHeight="1">
      <c r="A19" s="14" t="b">
        <v>0</v>
      </c>
      <c r="B19" s="15">
        <v>15.0</v>
      </c>
      <c r="C19" s="16" t="s">
        <v>61</v>
      </c>
      <c r="D19" s="32" t="s">
        <v>62</v>
      </c>
      <c r="E19" s="18" t="s">
        <v>63</v>
      </c>
      <c r="F19" s="30">
        <v>1200.0</v>
      </c>
      <c r="G19" s="19"/>
    </row>
    <row r="20" ht="26.25" customHeight="1">
      <c r="A20" s="22" t="b">
        <v>0</v>
      </c>
      <c r="B20" s="23">
        <v>16.0</v>
      </c>
      <c r="C20" s="24" t="s">
        <v>64</v>
      </c>
      <c r="D20" s="34" t="s">
        <v>65</v>
      </c>
      <c r="E20" s="26" t="s">
        <v>66</v>
      </c>
      <c r="F20" s="27">
        <v>2500.0</v>
      </c>
      <c r="G20" s="28"/>
    </row>
    <row r="21" ht="26.25" customHeight="1">
      <c r="A21" s="14" t="b">
        <v>0</v>
      </c>
      <c r="B21" s="15">
        <v>17.0</v>
      </c>
      <c r="C21" s="16" t="s">
        <v>67</v>
      </c>
      <c r="D21" s="32" t="s">
        <v>68</v>
      </c>
      <c r="E21" s="18" t="s">
        <v>69</v>
      </c>
      <c r="F21" s="30">
        <v>1000.0</v>
      </c>
      <c r="G21" s="35"/>
    </row>
    <row r="22" ht="26.25" customHeight="1">
      <c r="A22" s="22" t="b">
        <v>0</v>
      </c>
      <c r="B22" s="23">
        <v>18.0</v>
      </c>
      <c r="C22" s="24" t="s">
        <v>70</v>
      </c>
      <c r="D22" s="34" t="s">
        <v>71</v>
      </c>
      <c r="E22" s="26" t="s">
        <v>72</v>
      </c>
      <c r="F22" s="24">
        <v>800.0</v>
      </c>
      <c r="G22" s="28"/>
    </row>
    <row r="23" ht="26.25" customHeight="1">
      <c r="A23" s="14" t="b">
        <v>0</v>
      </c>
      <c r="B23" s="15">
        <v>19.0</v>
      </c>
      <c r="C23" s="16" t="s">
        <v>73</v>
      </c>
      <c r="D23" s="32" t="s">
        <v>74</v>
      </c>
      <c r="E23" s="18" t="s">
        <v>75</v>
      </c>
      <c r="F23" s="30">
        <v>3500.0</v>
      </c>
      <c r="G23" s="19"/>
    </row>
    <row r="24" ht="26.25" customHeight="1">
      <c r="A24" s="22" t="b">
        <v>0</v>
      </c>
      <c r="B24" s="23">
        <v>20.0</v>
      </c>
      <c r="C24" s="24" t="s">
        <v>76</v>
      </c>
      <c r="D24" s="34" t="s">
        <v>77</v>
      </c>
      <c r="E24" s="26" t="s">
        <v>78</v>
      </c>
      <c r="F24" s="24">
        <v>100.0</v>
      </c>
      <c r="G24" s="28"/>
    </row>
    <row r="25" ht="26.25" customHeight="1">
      <c r="A25" s="14" t="b">
        <v>0</v>
      </c>
      <c r="B25" s="15">
        <v>21.0</v>
      </c>
      <c r="C25" s="16" t="s">
        <v>79</v>
      </c>
      <c r="D25" s="32" t="s">
        <v>80</v>
      </c>
      <c r="E25" s="18" t="s">
        <v>81</v>
      </c>
      <c r="F25" s="30">
        <v>1500.0</v>
      </c>
      <c r="G25" s="19"/>
    </row>
    <row r="26" ht="26.25" customHeight="1">
      <c r="A26" s="22" t="b">
        <v>0</v>
      </c>
      <c r="B26" s="23">
        <v>22.0</v>
      </c>
      <c r="C26" s="24" t="s">
        <v>82</v>
      </c>
      <c r="D26" s="34" t="s">
        <v>83</v>
      </c>
      <c r="E26" s="26" t="s">
        <v>84</v>
      </c>
      <c r="F26" s="27">
        <v>2000.0</v>
      </c>
      <c r="G26" s="28"/>
    </row>
    <row r="27" ht="26.25" customHeight="1">
      <c r="A27" s="14" t="b">
        <v>0</v>
      </c>
      <c r="B27" s="15">
        <v>23.0</v>
      </c>
      <c r="C27" s="16" t="s">
        <v>85</v>
      </c>
      <c r="D27" s="32" t="s">
        <v>86</v>
      </c>
      <c r="E27" s="18" t="s">
        <v>87</v>
      </c>
      <c r="F27" s="30">
        <v>5000.0</v>
      </c>
      <c r="G27" s="19"/>
    </row>
    <row r="28" ht="26.25" customHeight="1">
      <c r="A28" s="22" t="b">
        <v>0</v>
      </c>
      <c r="B28" s="23">
        <v>24.0</v>
      </c>
      <c r="C28" s="24" t="s">
        <v>88</v>
      </c>
      <c r="D28" s="34" t="s">
        <v>89</v>
      </c>
      <c r="E28" s="26" t="s">
        <v>90</v>
      </c>
      <c r="F28" s="24">
        <v>600.0</v>
      </c>
      <c r="G28" s="28"/>
    </row>
    <row r="29" ht="26.25" customHeight="1">
      <c r="A29" s="14" t="b">
        <v>0</v>
      </c>
      <c r="B29" s="15">
        <v>25.0</v>
      </c>
      <c r="C29" s="16" t="s">
        <v>91</v>
      </c>
      <c r="D29" s="32" t="s">
        <v>92</v>
      </c>
      <c r="E29" s="18" t="s">
        <v>93</v>
      </c>
      <c r="F29" s="30">
        <v>1000.0</v>
      </c>
      <c r="G29" s="19"/>
    </row>
    <row r="30" ht="26.25" customHeight="1">
      <c r="A30" s="22" t="b">
        <v>0</v>
      </c>
      <c r="B30" s="23">
        <v>26.0</v>
      </c>
      <c r="C30" s="24" t="s">
        <v>94</v>
      </c>
      <c r="D30" s="34" t="s">
        <v>95</v>
      </c>
      <c r="E30" s="26" t="s">
        <v>96</v>
      </c>
      <c r="F30" s="27">
        <v>2200.0</v>
      </c>
      <c r="G30" s="28"/>
    </row>
    <row r="31" ht="26.25" customHeight="1">
      <c r="A31" s="14" t="b">
        <v>0</v>
      </c>
      <c r="B31" s="15">
        <v>27.0</v>
      </c>
      <c r="C31" s="15" t="s">
        <v>97</v>
      </c>
      <c r="D31" s="32" t="s">
        <v>98</v>
      </c>
      <c r="E31" s="18" t="s">
        <v>99</v>
      </c>
      <c r="F31" s="30">
        <v>1500.0</v>
      </c>
      <c r="G31" s="35"/>
    </row>
    <row r="32" ht="26.25" customHeight="1">
      <c r="A32" s="22" t="b">
        <v>0</v>
      </c>
      <c r="B32" s="23">
        <v>28.0</v>
      </c>
      <c r="C32" s="24" t="s">
        <v>100</v>
      </c>
      <c r="D32" s="34" t="s">
        <v>101</v>
      </c>
      <c r="E32" s="26" t="s">
        <v>102</v>
      </c>
      <c r="F32" s="24">
        <v>900.0</v>
      </c>
      <c r="G32" s="28"/>
    </row>
    <row r="33" ht="26.25" customHeight="1">
      <c r="A33" s="14" t="b">
        <v>0</v>
      </c>
      <c r="B33" s="15">
        <v>29.0</v>
      </c>
      <c r="C33" s="16" t="s">
        <v>103</v>
      </c>
      <c r="D33" s="32" t="s">
        <v>104</v>
      </c>
      <c r="E33" s="18" t="s">
        <v>105</v>
      </c>
      <c r="F33" s="30">
        <v>4000.0</v>
      </c>
      <c r="G33" s="35"/>
    </row>
    <row r="34" ht="26.25" customHeight="1">
      <c r="A34" s="22" t="b">
        <v>0</v>
      </c>
      <c r="B34" s="23">
        <v>30.0</v>
      </c>
      <c r="C34" s="24" t="s">
        <v>106</v>
      </c>
      <c r="D34" s="34" t="s">
        <v>107</v>
      </c>
      <c r="E34" s="26" t="s">
        <v>108</v>
      </c>
      <c r="F34" s="27">
        <v>1000.0</v>
      </c>
      <c r="G34" s="28"/>
    </row>
    <row r="35" ht="26.25" customHeight="1">
      <c r="A35" s="14" t="b">
        <v>0</v>
      </c>
      <c r="B35" s="15">
        <v>31.0</v>
      </c>
      <c r="C35" s="16" t="s">
        <v>109</v>
      </c>
      <c r="D35" s="32" t="s">
        <v>110</v>
      </c>
      <c r="E35" s="18" t="s">
        <v>111</v>
      </c>
      <c r="F35" s="30">
        <v>2500.0</v>
      </c>
      <c r="G35" s="19"/>
    </row>
    <row r="36" ht="26.25" customHeight="1">
      <c r="A36" s="22" t="b">
        <v>0</v>
      </c>
      <c r="B36" s="23">
        <v>32.0</v>
      </c>
      <c r="C36" s="24" t="s">
        <v>112</v>
      </c>
      <c r="D36" s="34" t="s">
        <v>113</v>
      </c>
      <c r="E36" s="26" t="s">
        <v>114</v>
      </c>
      <c r="F36" s="27">
        <v>5000.0</v>
      </c>
      <c r="G36" s="28"/>
    </row>
    <row r="37" ht="26.25" customHeight="1">
      <c r="A37" s="14" t="b">
        <v>0</v>
      </c>
      <c r="B37" s="15">
        <v>33.0</v>
      </c>
      <c r="C37" s="16" t="s">
        <v>115</v>
      </c>
      <c r="D37" s="32" t="s">
        <v>116</v>
      </c>
      <c r="E37" s="18" t="s">
        <v>117</v>
      </c>
      <c r="F37" s="16">
        <v>500.0</v>
      </c>
      <c r="G37" s="19"/>
    </row>
    <row r="38" ht="26.25" customHeight="1">
      <c r="A38" s="22" t="b">
        <v>0</v>
      </c>
      <c r="B38" s="23">
        <v>34.0</v>
      </c>
      <c r="C38" s="24" t="s">
        <v>118</v>
      </c>
      <c r="D38" s="34" t="s">
        <v>119</v>
      </c>
      <c r="E38" s="26" t="s">
        <v>120</v>
      </c>
      <c r="F38" s="27">
        <v>1200.0</v>
      </c>
      <c r="G38" s="28"/>
    </row>
    <row r="39" ht="26.25" customHeight="1">
      <c r="A39" s="14" t="b">
        <v>0</v>
      </c>
      <c r="B39" s="15">
        <v>35.0</v>
      </c>
      <c r="C39" s="16" t="s">
        <v>121</v>
      </c>
      <c r="D39" s="32" t="s">
        <v>122</v>
      </c>
      <c r="E39" s="18" t="s">
        <v>123</v>
      </c>
      <c r="F39" s="30">
        <v>3000.0</v>
      </c>
      <c r="G39" s="19"/>
    </row>
    <row r="40" ht="26.25" customHeight="1">
      <c r="A40" s="22" t="b">
        <v>0</v>
      </c>
      <c r="B40" s="23">
        <v>36.0</v>
      </c>
      <c r="C40" s="24" t="s">
        <v>124</v>
      </c>
      <c r="D40" s="34" t="s">
        <v>125</v>
      </c>
      <c r="E40" s="26" t="s">
        <v>126</v>
      </c>
      <c r="F40" s="24">
        <v>200.0</v>
      </c>
      <c r="G40" s="41"/>
    </row>
    <row r="41" ht="26.25" customHeight="1">
      <c r="A41" s="14" t="b">
        <v>0</v>
      </c>
      <c r="B41" s="15">
        <v>37.0</v>
      </c>
      <c r="C41" s="16" t="s">
        <v>127</v>
      </c>
      <c r="D41" s="32" t="s">
        <v>128</v>
      </c>
      <c r="E41" s="18" t="s">
        <v>129</v>
      </c>
      <c r="F41" s="30">
        <v>1000.0</v>
      </c>
      <c r="G41" s="19"/>
    </row>
    <row r="42" ht="26.25" customHeight="1">
      <c r="A42" s="22" t="b">
        <v>0</v>
      </c>
      <c r="B42" s="23">
        <v>38.0</v>
      </c>
      <c r="C42" s="24" t="s">
        <v>130</v>
      </c>
      <c r="D42" s="34" t="s">
        <v>131</v>
      </c>
      <c r="E42" s="26" t="s">
        <v>132</v>
      </c>
      <c r="F42" s="27">
        <v>2000.0</v>
      </c>
      <c r="G42" s="28"/>
    </row>
    <row r="43" ht="26.25" customHeight="1">
      <c r="A43" s="14" t="b">
        <v>0</v>
      </c>
      <c r="B43" s="15">
        <v>39.0</v>
      </c>
      <c r="C43" s="16" t="s">
        <v>133</v>
      </c>
      <c r="D43" s="32" t="s">
        <v>134</v>
      </c>
      <c r="E43" s="18" t="s">
        <v>135</v>
      </c>
      <c r="F43" s="30">
        <v>1800.0</v>
      </c>
      <c r="G43" s="19"/>
    </row>
    <row r="44" ht="26.25" customHeight="1">
      <c r="A44" s="22" t="b">
        <v>0</v>
      </c>
      <c r="B44" s="23">
        <v>40.0</v>
      </c>
      <c r="C44" s="24" t="s">
        <v>136</v>
      </c>
      <c r="D44" s="34" t="s">
        <v>137</v>
      </c>
      <c r="E44" s="26" t="s">
        <v>138</v>
      </c>
      <c r="F44" s="24">
        <v>700.0</v>
      </c>
      <c r="G44" s="41"/>
    </row>
    <row r="45" ht="26.25" customHeight="1">
      <c r="A45" s="14" t="b">
        <v>0</v>
      </c>
      <c r="B45" s="15">
        <v>41.0</v>
      </c>
      <c r="C45" s="16" t="s">
        <v>139</v>
      </c>
      <c r="D45" s="32" t="s">
        <v>140</v>
      </c>
      <c r="E45" s="18" t="s">
        <v>141</v>
      </c>
      <c r="F45" s="30">
        <v>4500.0</v>
      </c>
      <c r="G45" s="19"/>
    </row>
    <row r="46" ht="26.25" customHeight="1">
      <c r="A46" s="22" t="b">
        <v>0</v>
      </c>
      <c r="B46" s="23">
        <v>42.0</v>
      </c>
      <c r="C46" s="24" t="s">
        <v>142</v>
      </c>
      <c r="D46" s="34" t="s">
        <v>143</v>
      </c>
      <c r="E46" s="26" t="s">
        <v>144</v>
      </c>
      <c r="F46" s="27">
        <v>1500.0</v>
      </c>
      <c r="G46" s="41"/>
    </row>
    <row r="47" ht="26.25" customHeight="1">
      <c r="A47" s="14" t="b">
        <v>0</v>
      </c>
      <c r="B47" s="15">
        <v>43.0</v>
      </c>
      <c r="C47" s="16" t="s">
        <v>145</v>
      </c>
      <c r="D47" s="32" t="s">
        <v>146</v>
      </c>
      <c r="E47" s="18" t="s">
        <v>147</v>
      </c>
      <c r="F47" s="30">
        <v>2500.0</v>
      </c>
      <c r="G47" s="19"/>
    </row>
    <row r="48" ht="26.25" customHeight="1">
      <c r="A48" s="22" t="b">
        <v>0</v>
      </c>
      <c r="B48" s="23">
        <v>44.0</v>
      </c>
      <c r="C48" s="24" t="s">
        <v>148</v>
      </c>
      <c r="D48" s="34" t="s">
        <v>149</v>
      </c>
      <c r="E48" s="26" t="s">
        <v>150</v>
      </c>
      <c r="F48" s="27">
        <v>5000.0</v>
      </c>
      <c r="G48" s="28"/>
    </row>
    <row r="49" ht="26.25" customHeight="1">
      <c r="A49" s="14" t="b">
        <v>0</v>
      </c>
      <c r="B49" s="15">
        <v>45.0</v>
      </c>
      <c r="C49" s="16" t="s">
        <v>151</v>
      </c>
      <c r="D49" s="32" t="s">
        <v>152</v>
      </c>
      <c r="E49" s="18" t="s">
        <v>153</v>
      </c>
      <c r="F49" s="16">
        <v>300.0</v>
      </c>
      <c r="G49" s="19"/>
    </row>
    <row r="50" ht="26.25" customHeight="1">
      <c r="A50" s="22" t="b">
        <v>0</v>
      </c>
      <c r="B50" s="23">
        <v>46.0</v>
      </c>
      <c r="C50" s="24" t="s">
        <v>154</v>
      </c>
      <c r="D50" s="34" t="s">
        <v>155</v>
      </c>
      <c r="E50" s="26" t="s">
        <v>156</v>
      </c>
      <c r="F50" s="27">
        <v>1000.0</v>
      </c>
      <c r="G50" s="28"/>
    </row>
    <row r="51" ht="26.25" customHeight="1">
      <c r="A51" s="14" t="b">
        <v>0</v>
      </c>
      <c r="B51" s="15">
        <v>47.0</v>
      </c>
      <c r="C51" s="16" t="s">
        <v>157</v>
      </c>
      <c r="D51" s="32" t="s">
        <v>158</v>
      </c>
      <c r="E51" s="18" t="s">
        <v>159</v>
      </c>
      <c r="F51" s="30">
        <v>3500.0</v>
      </c>
      <c r="G51" s="19"/>
    </row>
    <row r="52" ht="22.5" customHeight="1">
      <c r="A52" s="22" t="b">
        <v>0</v>
      </c>
      <c r="B52" s="23">
        <v>48.0</v>
      </c>
      <c r="C52" s="24" t="s">
        <v>160</v>
      </c>
      <c r="D52" s="34" t="s">
        <v>161</v>
      </c>
      <c r="E52" s="26" t="s">
        <v>162</v>
      </c>
      <c r="F52" s="27">
        <v>1200.0</v>
      </c>
      <c r="G52" s="41"/>
      <c r="H52" s="42"/>
      <c r="I52" s="43"/>
      <c r="J52" s="44"/>
      <c r="K52" s="45"/>
      <c r="L52" s="43"/>
      <c r="M52" s="46"/>
    </row>
    <row r="53" ht="22.5" customHeight="1">
      <c r="A53" s="14" t="b">
        <v>0</v>
      </c>
      <c r="B53" s="15">
        <v>49.0</v>
      </c>
      <c r="C53" s="16" t="s">
        <v>163</v>
      </c>
      <c r="D53" s="32" t="s">
        <v>164</v>
      </c>
      <c r="E53" s="18" t="s">
        <v>165</v>
      </c>
      <c r="F53" s="16">
        <v>600.0</v>
      </c>
      <c r="G53" s="19"/>
    </row>
    <row r="54" ht="22.5" customHeight="1">
      <c r="A54" s="22" t="b">
        <v>0</v>
      </c>
      <c r="B54" s="23">
        <v>50.0</v>
      </c>
      <c r="C54" s="24" t="s">
        <v>166</v>
      </c>
      <c r="D54" s="34" t="s">
        <v>167</v>
      </c>
      <c r="E54" s="26" t="s">
        <v>168</v>
      </c>
      <c r="F54" s="27">
        <v>2000.0</v>
      </c>
      <c r="G54" s="28"/>
    </row>
    <row r="55" ht="22.5" customHeight="1">
      <c r="A55" s="14" t="b">
        <v>0</v>
      </c>
      <c r="B55" s="15">
        <v>51.0</v>
      </c>
      <c r="C55" s="16" t="s">
        <v>169</v>
      </c>
      <c r="D55" s="32" t="s">
        <v>170</v>
      </c>
      <c r="E55" s="18" t="s">
        <v>171</v>
      </c>
      <c r="F55" s="30">
        <v>1000.0</v>
      </c>
      <c r="G55" s="19"/>
    </row>
    <row r="56" ht="22.5" customHeight="1">
      <c r="A56" s="22" t="b">
        <v>0</v>
      </c>
      <c r="B56" s="23">
        <v>52.0</v>
      </c>
      <c r="C56" s="24" t="s">
        <v>172</v>
      </c>
      <c r="D56" s="34" t="s">
        <v>173</v>
      </c>
      <c r="E56" s="26" t="s">
        <v>174</v>
      </c>
      <c r="F56" s="27">
        <v>2800.0</v>
      </c>
      <c r="G56" s="28"/>
    </row>
    <row r="57" ht="22.5" customHeight="1">
      <c r="A57" s="14" t="b">
        <v>0</v>
      </c>
      <c r="B57" s="15">
        <v>53.0</v>
      </c>
      <c r="C57" s="16" t="s">
        <v>175</v>
      </c>
      <c r="D57" s="32" t="s">
        <v>176</v>
      </c>
      <c r="E57" s="18" t="s">
        <v>177</v>
      </c>
      <c r="F57" s="16">
        <v>400.0</v>
      </c>
      <c r="G57" s="19"/>
    </row>
    <row r="58" ht="22.5" customHeight="1">
      <c r="A58" s="22" t="b">
        <v>0</v>
      </c>
      <c r="B58" s="23">
        <v>54.0</v>
      </c>
      <c r="C58" s="24" t="s">
        <v>178</v>
      </c>
      <c r="D58" s="34" t="s">
        <v>179</v>
      </c>
      <c r="E58" s="26" t="s">
        <v>180</v>
      </c>
      <c r="F58" s="27">
        <v>1500.0</v>
      </c>
      <c r="G58" s="28"/>
    </row>
    <row r="59" ht="22.5" customHeight="1">
      <c r="A59" s="14" t="b">
        <v>0</v>
      </c>
      <c r="B59" s="15">
        <v>55.0</v>
      </c>
      <c r="C59" s="16" t="s">
        <v>181</v>
      </c>
      <c r="D59" s="32" t="s">
        <v>182</v>
      </c>
      <c r="E59" s="18" t="s">
        <v>183</v>
      </c>
      <c r="F59" s="30">
        <v>5000.0</v>
      </c>
      <c r="G59" s="19"/>
    </row>
    <row r="60" ht="22.5" customHeight="1">
      <c r="A60" s="22" t="b">
        <v>0</v>
      </c>
      <c r="B60" s="23">
        <v>56.0</v>
      </c>
      <c r="C60" s="24" t="s">
        <v>184</v>
      </c>
      <c r="D60" s="34" t="s">
        <v>185</v>
      </c>
      <c r="E60" s="26" t="s">
        <v>186</v>
      </c>
      <c r="F60" s="24">
        <v>800.0</v>
      </c>
      <c r="G60" s="28"/>
    </row>
    <row r="61" ht="22.5" customHeight="1">
      <c r="A61" s="14" t="b">
        <v>0</v>
      </c>
      <c r="B61" s="15">
        <v>57.0</v>
      </c>
      <c r="C61" s="16" t="s">
        <v>187</v>
      </c>
      <c r="D61" s="32" t="s">
        <v>188</v>
      </c>
      <c r="E61" s="18" t="s">
        <v>189</v>
      </c>
      <c r="F61" s="30">
        <v>2000.0</v>
      </c>
      <c r="G61" s="19"/>
    </row>
    <row r="62" ht="22.5" customHeight="1">
      <c r="A62" s="22" t="b">
        <v>0</v>
      </c>
      <c r="B62" s="23">
        <v>58.0</v>
      </c>
      <c r="C62" s="24" t="s">
        <v>190</v>
      </c>
      <c r="D62" s="34" t="s">
        <v>191</v>
      </c>
      <c r="E62" s="26" t="s">
        <v>192</v>
      </c>
      <c r="F62" s="27">
        <v>3000.0</v>
      </c>
      <c r="G62" s="28"/>
    </row>
    <row r="63" ht="22.5" customHeight="1">
      <c r="A63" s="14" t="b">
        <v>0</v>
      </c>
      <c r="B63" s="15">
        <v>59.0</v>
      </c>
      <c r="C63" s="16" t="s">
        <v>193</v>
      </c>
      <c r="D63" s="32" t="s">
        <v>194</v>
      </c>
      <c r="E63" s="18" t="s">
        <v>195</v>
      </c>
      <c r="F63" s="30">
        <v>1000.0</v>
      </c>
      <c r="G63" s="19"/>
    </row>
    <row r="64" ht="22.5" customHeight="1">
      <c r="A64" s="22" t="b">
        <v>0</v>
      </c>
      <c r="B64" s="23">
        <v>60.0</v>
      </c>
      <c r="C64" s="24" t="s">
        <v>196</v>
      </c>
      <c r="D64" s="34" t="s">
        <v>197</v>
      </c>
      <c r="E64" s="26" t="s">
        <v>198</v>
      </c>
      <c r="F64" s="27">
        <v>1500.0</v>
      </c>
      <c r="G64" s="28"/>
    </row>
    <row r="65" ht="22.5" customHeight="1">
      <c r="A65" s="14" t="b">
        <v>0</v>
      </c>
      <c r="B65" s="15">
        <v>61.0</v>
      </c>
      <c r="C65" s="16" t="s">
        <v>199</v>
      </c>
      <c r="D65" s="32" t="s">
        <v>200</v>
      </c>
      <c r="E65" s="18" t="s">
        <v>201</v>
      </c>
      <c r="F65" s="30">
        <v>2500.0</v>
      </c>
      <c r="G65" s="19"/>
    </row>
    <row r="66" ht="22.5" customHeight="1">
      <c r="A66" s="22" t="b">
        <v>0</v>
      </c>
      <c r="B66" s="23">
        <v>62.0</v>
      </c>
      <c r="C66" s="24" t="s">
        <v>202</v>
      </c>
      <c r="D66" s="34" t="s">
        <v>203</v>
      </c>
      <c r="E66" s="26" t="s">
        <v>204</v>
      </c>
      <c r="F66" s="24">
        <v>200.0</v>
      </c>
      <c r="G66" s="28"/>
    </row>
    <row r="67" ht="22.5" customHeight="1">
      <c r="A67" s="14" t="b">
        <v>0</v>
      </c>
      <c r="B67" s="15">
        <v>63.0</v>
      </c>
      <c r="C67" s="16" t="s">
        <v>205</v>
      </c>
      <c r="D67" s="32" t="s">
        <v>206</v>
      </c>
      <c r="E67" s="18" t="s">
        <v>207</v>
      </c>
      <c r="F67" s="30">
        <v>1000.0</v>
      </c>
      <c r="G67" s="19"/>
    </row>
    <row r="68" ht="22.5" customHeight="1">
      <c r="A68" s="22" t="b">
        <v>0</v>
      </c>
      <c r="B68" s="23">
        <v>64.0</v>
      </c>
      <c r="C68" s="24" t="s">
        <v>208</v>
      </c>
      <c r="D68" s="34" t="s">
        <v>209</v>
      </c>
      <c r="E68" s="26" t="s">
        <v>210</v>
      </c>
      <c r="F68" s="27">
        <v>4000.0</v>
      </c>
      <c r="G68" s="28"/>
    </row>
    <row r="69" ht="22.5" customHeight="1">
      <c r="A69" s="14" t="b">
        <v>0</v>
      </c>
      <c r="B69" s="15">
        <v>65.0</v>
      </c>
      <c r="C69" s="16" t="s">
        <v>211</v>
      </c>
      <c r="D69" s="32" t="s">
        <v>212</v>
      </c>
      <c r="E69" s="18" t="s">
        <v>213</v>
      </c>
      <c r="F69" s="16">
        <v>500.0</v>
      </c>
      <c r="G69" s="19"/>
    </row>
    <row r="70" ht="22.5" customHeight="1">
      <c r="A70" s="22" t="b">
        <v>0</v>
      </c>
      <c r="B70" s="23">
        <v>66.0</v>
      </c>
      <c r="C70" s="24" t="s">
        <v>214</v>
      </c>
      <c r="D70" s="34" t="s">
        <v>215</v>
      </c>
      <c r="E70" s="26" t="s">
        <v>216</v>
      </c>
      <c r="F70" s="27">
        <v>2000.0</v>
      </c>
      <c r="G70" s="28"/>
    </row>
    <row r="71" ht="22.5" customHeight="1">
      <c r="A71" s="14" t="b">
        <v>0</v>
      </c>
      <c r="B71" s="15">
        <v>67.0</v>
      </c>
      <c r="C71" s="16" t="s">
        <v>217</v>
      </c>
      <c r="D71" s="32" t="s">
        <v>218</v>
      </c>
      <c r="E71" s="18" t="s">
        <v>219</v>
      </c>
      <c r="F71" s="30">
        <v>5000.0</v>
      </c>
      <c r="G71" s="19"/>
    </row>
    <row r="72" ht="22.5" customHeight="1">
      <c r="A72" s="22" t="b">
        <v>0</v>
      </c>
      <c r="B72" s="23">
        <v>68.0</v>
      </c>
      <c r="C72" s="24" t="s">
        <v>220</v>
      </c>
      <c r="D72" s="34" t="s">
        <v>221</v>
      </c>
      <c r="E72" s="26" t="s">
        <v>222</v>
      </c>
      <c r="F72" s="27">
        <v>1200.0</v>
      </c>
      <c r="G72" s="41"/>
    </row>
    <row r="73" ht="22.5" customHeight="1">
      <c r="A73" s="14" t="b">
        <v>0</v>
      </c>
      <c r="B73" s="15">
        <v>69.0</v>
      </c>
      <c r="C73" s="16" t="s">
        <v>223</v>
      </c>
      <c r="D73" s="32" t="s">
        <v>224</v>
      </c>
      <c r="E73" s="18" t="s">
        <v>225</v>
      </c>
      <c r="F73" s="16">
        <v>700.0</v>
      </c>
      <c r="G73" s="19"/>
    </row>
    <row r="74" ht="22.5" customHeight="1">
      <c r="A74" s="22" t="b">
        <v>0</v>
      </c>
      <c r="B74" s="23">
        <v>70.0</v>
      </c>
      <c r="C74" s="24" t="s">
        <v>226</v>
      </c>
      <c r="D74" s="34" t="s">
        <v>227</v>
      </c>
      <c r="E74" s="26" t="s">
        <v>228</v>
      </c>
      <c r="F74" s="27">
        <v>3000.0</v>
      </c>
      <c r="G74" s="28"/>
    </row>
    <row r="75" ht="22.5" customHeight="1">
      <c r="A75" s="14" t="b">
        <v>0</v>
      </c>
      <c r="B75" s="15">
        <v>71.0</v>
      </c>
      <c r="C75" s="16" t="s">
        <v>229</v>
      </c>
      <c r="D75" s="32" t="s">
        <v>230</v>
      </c>
      <c r="E75" s="18" t="s">
        <v>231</v>
      </c>
      <c r="F75" s="30">
        <v>1500.0</v>
      </c>
      <c r="G75" s="35"/>
    </row>
    <row r="76" ht="22.5" customHeight="1">
      <c r="A76" s="22" t="b">
        <v>0</v>
      </c>
      <c r="B76" s="23">
        <v>72.0</v>
      </c>
      <c r="C76" s="24" t="s">
        <v>232</v>
      </c>
      <c r="D76" s="34" t="s">
        <v>233</v>
      </c>
      <c r="E76" s="26" t="s">
        <v>234</v>
      </c>
      <c r="F76" s="27">
        <v>2200.0</v>
      </c>
      <c r="G76" s="28"/>
    </row>
    <row r="77" ht="22.5" customHeight="1">
      <c r="A77" s="14" t="b">
        <v>0</v>
      </c>
      <c r="B77" s="15">
        <v>73.0</v>
      </c>
      <c r="C77" s="16" t="s">
        <v>235</v>
      </c>
      <c r="D77" s="32" t="s">
        <v>236</v>
      </c>
      <c r="E77" s="18" t="s">
        <v>237</v>
      </c>
      <c r="F77" s="30">
        <v>1000.0</v>
      </c>
      <c r="G77" s="19"/>
    </row>
    <row r="78" ht="22.5" customHeight="1">
      <c r="A78" s="22" t="b">
        <v>0</v>
      </c>
      <c r="B78" s="23">
        <v>74.0</v>
      </c>
      <c r="C78" s="24" t="s">
        <v>238</v>
      </c>
      <c r="D78" s="34" t="s">
        <v>239</v>
      </c>
      <c r="E78" s="26" t="s">
        <v>240</v>
      </c>
      <c r="F78" s="24">
        <v>900.0</v>
      </c>
      <c r="G78" s="28"/>
    </row>
    <row r="79" ht="22.5" customHeight="1">
      <c r="A79" s="14" t="b">
        <v>0</v>
      </c>
      <c r="B79" s="15">
        <v>75.0</v>
      </c>
      <c r="C79" s="16" t="s">
        <v>241</v>
      </c>
      <c r="D79" s="32" t="s">
        <v>242</v>
      </c>
      <c r="E79" s="18" t="s">
        <v>243</v>
      </c>
      <c r="F79" s="30">
        <v>4500.0</v>
      </c>
      <c r="G79" s="35"/>
    </row>
    <row r="80" ht="22.5" customHeight="1">
      <c r="A80" s="22" t="b">
        <v>0</v>
      </c>
      <c r="B80" s="23">
        <v>76.0</v>
      </c>
      <c r="C80" s="24" t="s">
        <v>244</v>
      </c>
      <c r="D80" s="34" t="s">
        <v>245</v>
      </c>
      <c r="E80" s="26" t="s">
        <v>246</v>
      </c>
      <c r="F80" s="24">
        <v>300.0</v>
      </c>
      <c r="G80" s="41"/>
    </row>
    <row r="81" ht="22.5" customHeight="1">
      <c r="A81" s="14" t="b">
        <v>0</v>
      </c>
      <c r="B81" s="15">
        <v>77.0</v>
      </c>
      <c r="C81" s="16" t="s">
        <v>247</v>
      </c>
      <c r="D81" s="32" t="s">
        <v>248</v>
      </c>
      <c r="E81" s="18" t="s">
        <v>249</v>
      </c>
      <c r="F81" s="30">
        <v>2500.0</v>
      </c>
      <c r="G81" s="19"/>
    </row>
    <row r="82" ht="22.5" customHeight="1">
      <c r="A82" s="22" t="b">
        <v>0</v>
      </c>
      <c r="B82" s="23">
        <v>78.0</v>
      </c>
      <c r="C82" s="24" t="s">
        <v>250</v>
      </c>
      <c r="D82" s="34" t="s">
        <v>251</v>
      </c>
      <c r="E82" s="26" t="s">
        <v>252</v>
      </c>
      <c r="F82" s="27">
        <v>5000.0</v>
      </c>
      <c r="G82" s="28"/>
    </row>
    <row r="83" ht="22.5" customHeight="1">
      <c r="A83" s="14" t="b">
        <v>0</v>
      </c>
      <c r="B83" s="15">
        <v>79.0</v>
      </c>
      <c r="C83" s="16" t="s">
        <v>253</v>
      </c>
      <c r="D83" s="32" t="s">
        <v>254</v>
      </c>
      <c r="E83" s="18" t="s">
        <v>255</v>
      </c>
      <c r="F83" s="30">
        <v>1000.0</v>
      </c>
      <c r="G83" s="19"/>
    </row>
    <row r="84" ht="22.5" customHeight="1">
      <c r="A84" s="22" t="b">
        <v>0</v>
      </c>
      <c r="B84" s="23">
        <v>80.0</v>
      </c>
      <c r="C84" s="24" t="s">
        <v>256</v>
      </c>
      <c r="D84" s="34" t="s">
        <v>257</v>
      </c>
      <c r="E84" s="26" t="s">
        <v>258</v>
      </c>
      <c r="F84" s="27">
        <v>1800.0</v>
      </c>
      <c r="G84" s="28"/>
    </row>
    <row r="85" ht="22.5" customHeight="1">
      <c r="A85" s="14" t="b">
        <v>0</v>
      </c>
      <c r="B85" s="15">
        <v>81.0</v>
      </c>
      <c r="C85" s="16" t="s">
        <v>259</v>
      </c>
      <c r="D85" s="32" t="s">
        <v>260</v>
      </c>
      <c r="E85" s="18" t="s">
        <v>261</v>
      </c>
      <c r="F85" s="30">
        <v>2000.0</v>
      </c>
      <c r="G85" s="35"/>
    </row>
    <row r="86" ht="22.5" customHeight="1">
      <c r="A86" s="22" t="b">
        <v>0</v>
      </c>
      <c r="B86" s="23">
        <v>82.0</v>
      </c>
      <c r="C86" s="24" t="s">
        <v>262</v>
      </c>
      <c r="D86" s="34" t="s">
        <v>263</v>
      </c>
      <c r="E86" s="26" t="s">
        <v>264</v>
      </c>
      <c r="F86" s="24">
        <v>600.0</v>
      </c>
      <c r="G86" s="41"/>
    </row>
    <row r="87" ht="22.5" customHeight="1">
      <c r="A87" s="14" t="b">
        <v>0</v>
      </c>
      <c r="B87" s="15">
        <v>83.0</v>
      </c>
      <c r="C87" s="16" t="s">
        <v>265</v>
      </c>
      <c r="D87" s="32" t="s">
        <v>266</v>
      </c>
      <c r="E87" s="18" t="s">
        <v>267</v>
      </c>
      <c r="F87" s="30">
        <v>3500.0</v>
      </c>
      <c r="G87" s="19"/>
    </row>
    <row r="88" ht="22.5" customHeight="1">
      <c r="A88" s="22" t="b">
        <v>0</v>
      </c>
      <c r="B88" s="23">
        <v>84.0</v>
      </c>
      <c r="C88" s="24" t="s">
        <v>268</v>
      </c>
      <c r="D88" s="34" t="s">
        <v>269</v>
      </c>
      <c r="E88" s="26" t="s">
        <v>270</v>
      </c>
      <c r="F88" s="27">
        <v>1200.0</v>
      </c>
      <c r="G88" s="28"/>
    </row>
    <row r="89" ht="22.5" customHeight="1">
      <c r="A89" s="14" t="b">
        <v>0</v>
      </c>
      <c r="B89" s="15">
        <v>85.0</v>
      </c>
      <c r="C89" s="16" t="s">
        <v>271</v>
      </c>
      <c r="D89" s="32" t="s">
        <v>272</v>
      </c>
      <c r="E89" s="18" t="s">
        <v>273</v>
      </c>
      <c r="F89" s="30">
        <v>2500.0</v>
      </c>
      <c r="G89" s="19"/>
    </row>
    <row r="90" ht="22.5" customHeight="1">
      <c r="A90" s="22" t="b">
        <v>0</v>
      </c>
      <c r="B90" s="23">
        <v>86.0</v>
      </c>
      <c r="C90" s="24" t="s">
        <v>274</v>
      </c>
      <c r="D90" s="34" t="s">
        <v>275</v>
      </c>
      <c r="E90" s="26" t="s">
        <v>276</v>
      </c>
      <c r="F90" s="24">
        <v>400.0</v>
      </c>
      <c r="G90" s="41"/>
    </row>
    <row r="91" ht="22.5" customHeight="1">
      <c r="A91" s="14" t="b">
        <v>0</v>
      </c>
      <c r="B91" s="15">
        <v>87.0</v>
      </c>
      <c r="C91" s="16" t="s">
        <v>277</v>
      </c>
      <c r="D91" s="32" t="s">
        <v>278</v>
      </c>
      <c r="E91" s="18" t="s">
        <v>279</v>
      </c>
      <c r="F91" s="30">
        <v>1000.0</v>
      </c>
      <c r="G91" s="35"/>
    </row>
    <row r="92" ht="22.5" customHeight="1">
      <c r="A92" s="22" t="b">
        <v>0</v>
      </c>
      <c r="B92" s="23">
        <v>88.0</v>
      </c>
      <c r="C92" s="24" t="s">
        <v>280</v>
      </c>
      <c r="D92" s="34" t="s">
        <v>281</v>
      </c>
      <c r="E92" s="26" t="s">
        <v>282</v>
      </c>
      <c r="F92" s="27">
        <v>5000.0</v>
      </c>
      <c r="G92" s="28"/>
    </row>
    <row r="93" ht="22.5" customHeight="1">
      <c r="A93" s="14" t="b">
        <v>0</v>
      </c>
      <c r="B93" s="15">
        <v>89.0</v>
      </c>
      <c r="C93" s="16" t="s">
        <v>283</v>
      </c>
      <c r="D93" s="32" t="s">
        <v>284</v>
      </c>
      <c r="E93" s="18" t="s">
        <v>285</v>
      </c>
      <c r="F93" s="30">
        <v>1500.0</v>
      </c>
      <c r="G93" s="19"/>
    </row>
    <row r="94" ht="22.5" customHeight="1">
      <c r="A94" s="22" t="b">
        <v>0</v>
      </c>
      <c r="B94" s="23">
        <v>90.0</v>
      </c>
      <c r="C94" s="24" t="s">
        <v>286</v>
      </c>
      <c r="D94" s="34" t="s">
        <v>287</v>
      </c>
      <c r="E94" s="26" t="s">
        <v>288</v>
      </c>
      <c r="F94" s="27">
        <v>2000.0</v>
      </c>
      <c r="G94" s="28"/>
    </row>
    <row r="95" ht="22.5" customHeight="1">
      <c r="A95" s="14" t="b">
        <v>0</v>
      </c>
      <c r="B95" s="15">
        <v>91.0</v>
      </c>
      <c r="C95" s="16" t="s">
        <v>289</v>
      </c>
      <c r="D95" s="32" t="s">
        <v>290</v>
      </c>
      <c r="E95" s="18" t="s">
        <v>291</v>
      </c>
      <c r="F95" s="16">
        <v>800.0</v>
      </c>
      <c r="G95" s="19"/>
    </row>
    <row r="96" ht="22.5" customHeight="1">
      <c r="A96" s="22" t="b">
        <v>0</v>
      </c>
      <c r="B96" s="23">
        <v>92.0</v>
      </c>
      <c r="C96" s="24" t="s">
        <v>292</v>
      </c>
      <c r="D96" s="34" t="s">
        <v>293</v>
      </c>
      <c r="E96" s="26" t="s">
        <v>294</v>
      </c>
      <c r="F96" s="27">
        <v>4000.0</v>
      </c>
      <c r="G96" s="28"/>
    </row>
    <row r="97" ht="22.5" customHeight="1">
      <c r="A97" s="14" t="b">
        <v>0</v>
      </c>
      <c r="B97" s="15">
        <v>93.0</v>
      </c>
      <c r="C97" s="16" t="s">
        <v>295</v>
      </c>
      <c r="D97" s="32" t="s">
        <v>296</v>
      </c>
      <c r="E97" s="18" t="s">
        <v>297</v>
      </c>
      <c r="F97" s="30">
        <v>1000.0</v>
      </c>
      <c r="G97" s="19"/>
    </row>
    <row r="98" ht="22.5" customHeight="1">
      <c r="A98" s="22" t="b">
        <v>0</v>
      </c>
      <c r="B98" s="23">
        <v>94.0</v>
      </c>
      <c r="C98" s="24" t="s">
        <v>298</v>
      </c>
      <c r="D98" s="34" t="s">
        <v>299</v>
      </c>
      <c r="E98" s="26" t="s">
        <v>300</v>
      </c>
      <c r="F98" s="27">
        <v>2200.0</v>
      </c>
      <c r="G98" s="28"/>
    </row>
    <row r="99" ht="22.5" customHeight="1">
      <c r="A99" s="14" t="b">
        <v>0</v>
      </c>
      <c r="B99" s="15">
        <v>95.0</v>
      </c>
      <c r="C99" s="16" t="s">
        <v>301</v>
      </c>
      <c r="D99" s="32" t="s">
        <v>302</v>
      </c>
      <c r="E99" s="18" t="s">
        <v>303</v>
      </c>
      <c r="F99" s="16">
        <v>500.0</v>
      </c>
      <c r="G99" s="19"/>
    </row>
    <row r="100" ht="22.5" customHeight="1">
      <c r="A100" s="22" t="b">
        <v>0</v>
      </c>
      <c r="B100" s="23">
        <v>96.0</v>
      </c>
      <c r="C100" s="24" t="s">
        <v>304</v>
      </c>
      <c r="D100" s="34" t="s">
        <v>305</v>
      </c>
      <c r="E100" s="26" t="s">
        <v>306</v>
      </c>
      <c r="F100" s="27">
        <v>3000.0</v>
      </c>
      <c r="G100" s="28"/>
    </row>
    <row r="101" ht="22.5" customHeight="1">
      <c r="A101" s="14" t="b">
        <v>0</v>
      </c>
      <c r="B101" s="15">
        <v>97.0</v>
      </c>
      <c r="C101" s="16" t="s">
        <v>307</v>
      </c>
      <c r="D101" s="32" t="s">
        <v>308</v>
      </c>
      <c r="E101" s="18" t="s">
        <v>309</v>
      </c>
      <c r="F101" s="30">
        <v>1200.0</v>
      </c>
      <c r="G101" s="19"/>
    </row>
    <row r="102" ht="22.5" customHeight="1">
      <c r="A102" s="22" t="b">
        <v>0</v>
      </c>
      <c r="B102" s="23">
        <v>98.0</v>
      </c>
      <c r="C102" s="24" t="s">
        <v>310</v>
      </c>
      <c r="D102" s="34" t="s">
        <v>311</v>
      </c>
      <c r="E102" s="26" t="s">
        <v>312</v>
      </c>
      <c r="F102" s="27">
        <v>2500.0</v>
      </c>
      <c r="G102" s="28"/>
    </row>
    <row r="103" ht="22.5" customHeight="1">
      <c r="A103" s="14" t="b">
        <v>0</v>
      </c>
      <c r="B103" s="15">
        <v>99.0</v>
      </c>
      <c r="C103" s="16" t="s">
        <v>313</v>
      </c>
      <c r="D103" s="32" t="s">
        <v>314</v>
      </c>
      <c r="E103" s="18" t="s">
        <v>315</v>
      </c>
      <c r="F103" s="30">
        <v>5000.0</v>
      </c>
      <c r="G103" s="19"/>
    </row>
    <row r="104" ht="22.5" customHeight="1">
      <c r="A104" s="22" t="b">
        <v>0</v>
      </c>
      <c r="B104" s="23">
        <v>100.0</v>
      </c>
      <c r="C104" s="24" t="s">
        <v>316</v>
      </c>
      <c r="D104" s="34" t="s">
        <v>317</v>
      </c>
      <c r="E104" s="26" t="s">
        <v>318</v>
      </c>
      <c r="F104" s="24">
        <v>700.0</v>
      </c>
      <c r="G104" s="28"/>
    </row>
    <row r="105" ht="22.5" customHeight="1">
      <c r="A105" s="14" t="b">
        <v>0</v>
      </c>
      <c r="B105" s="15">
        <v>101.0</v>
      </c>
      <c r="C105" s="16" t="s">
        <v>319</v>
      </c>
      <c r="D105" s="32" t="s">
        <v>320</v>
      </c>
      <c r="E105" s="18" t="s">
        <v>321</v>
      </c>
      <c r="F105" s="30">
        <v>1000.0</v>
      </c>
      <c r="G105" s="19"/>
    </row>
    <row r="106" ht="22.5" customHeight="1">
      <c r="A106" s="22" t="b">
        <v>0</v>
      </c>
      <c r="B106" s="23">
        <v>102.0</v>
      </c>
      <c r="C106" s="24" t="s">
        <v>322</v>
      </c>
      <c r="D106" s="34" t="s">
        <v>323</v>
      </c>
      <c r="E106" s="26" t="s">
        <v>324</v>
      </c>
      <c r="F106" s="27">
        <v>2000.0</v>
      </c>
      <c r="G106" s="28"/>
    </row>
    <row r="107" ht="22.5" customHeight="1">
      <c r="A107" s="14" t="b">
        <v>0</v>
      </c>
      <c r="B107" s="15">
        <v>103.0</v>
      </c>
      <c r="C107" s="16" t="s">
        <v>325</v>
      </c>
      <c r="D107" s="32" t="s">
        <v>326</v>
      </c>
      <c r="E107" s="18" t="s">
        <v>327</v>
      </c>
      <c r="F107" s="30">
        <v>1500.0</v>
      </c>
      <c r="G107" s="19"/>
    </row>
    <row r="108" ht="22.5" customHeight="1">
      <c r="A108" s="22" t="b">
        <v>0</v>
      </c>
      <c r="B108" s="23">
        <v>104.0</v>
      </c>
      <c r="C108" s="24" t="s">
        <v>328</v>
      </c>
      <c r="D108" s="34" t="s">
        <v>329</v>
      </c>
      <c r="E108" s="26" t="s">
        <v>330</v>
      </c>
      <c r="F108" s="24">
        <v>900.0</v>
      </c>
      <c r="G108" s="28"/>
    </row>
    <row r="109" ht="22.5" customHeight="1">
      <c r="A109" s="14" t="b">
        <v>0</v>
      </c>
      <c r="B109" s="15">
        <v>105.0</v>
      </c>
      <c r="C109" s="16" t="s">
        <v>331</v>
      </c>
      <c r="D109" s="32" t="s">
        <v>332</v>
      </c>
      <c r="E109" s="18" t="s">
        <v>333</v>
      </c>
      <c r="F109" s="30">
        <v>3500.0</v>
      </c>
      <c r="G109" s="19"/>
    </row>
    <row r="110" ht="22.5" customHeight="1">
      <c r="A110" s="22" t="b">
        <v>0</v>
      </c>
      <c r="B110" s="23">
        <v>106.0</v>
      </c>
      <c r="C110" s="24" t="s">
        <v>334</v>
      </c>
      <c r="D110" s="34" t="s">
        <v>335</v>
      </c>
      <c r="E110" s="26" t="s">
        <v>336</v>
      </c>
      <c r="F110" s="24">
        <v>200.0</v>
      </c>
      <c r="G110" s="28"/>
    </row>
    <row r="111" ht="22.5" customHeight="1">
      <c r="A111" s="14" t="b">
        <v>0</v>
      </c>
      <c r="B111" s="15">
        <v>107.0</v>
      </c>
      <c r="C111" s="16" t="s">
        <v>337</v>
      </c>
      <c r="D111" s="32" t="s">
        <v>338</v>
      </c>
      <c r="E111" s="18" t="s">
        <v>339</v>
      </c>
      <c r="F111" s="30">
        <v>2500.0</v>
      </c>
      <c r="G111" s="19"/>
    </row>
    <row r="112" ht="22.5" customHeight="1">
      <c r="A112" s="22" t="b">
        <v>0</v>
      </c>
      <c r="B112" s="23">
        <v>108.0</v>
      </c>
      <c r="C112" s="24" t="s">
        <v>340</v>
      </c>
      <c r="D112" s="34" t="s">
        <v>341</v>
      </c>
      <c r="E112" s="26" t="s">
        <v>342</v>
      </c>
      <c r="F112" s="27">
        <v>1000.0</v>
      </c>
      <c r="G112" s="41"/>
    </row>
    <row r="113" ht="22.5" customHeight="1">
      <c r="A113" s="14" t="b">
        <v>0</v>
      </c>
      <c r="B113" s="15">
        <v>109.0</v>
      </c>
      <c r="C113" s="16" t="s">
        <v>343</v>
      </c>
      <c r="D113" s="32" t="s">
        <v>344</v>
      </c>
      <c r="E113" s="18" t="s">
        <v>345</v>
      </c>
      <c r="F113" s="30">
        <v>4000.0</v>
      </c>
      <c r="G113" s="19"/>
    </row>
    <row r="114" ht="22.5" customHeight="1">
      <c r="A114" s="22" t="b">
        <v>0</v>
      </c>
      <c r="B114" s="23">
        <v>110.0</v>
      </c>
      <c r="C114" s="24" t="s">
        <v>346</v>
      </c>
      <c r="D114" s="34" t="s">
        <v>347</v>
      </c>
      <c r="E114" s="26" t="s">
        <v>348</v>
      </c>
      <c r="F114" s="27">
        <v>1200.0</v>
      </c>
      <c r="G114" s="28"/>
    </row>
    <row r="115" ht="22.5" customHeight="1">
      <c r="A115" s="14" t="b">
        <v>0</v>
      </c>
      <c r="B115" s="15">
        <v>111.0</v>
      </c>
      <c r="C115" s="16" t="s">
        <v>349</v>
      </c>
      <c r="D115" s="32" t="s">
        <v>350</v>
      </c>
      <c r="E115" s="18" t="s">
        <v>351</v>
      </c>
      <c r="F115" s="30">
        <v>2000.0</v>
      </c>
      <c r="G115" s="19"/>
    </row>
    <row r="116" ht="22.5" customHeight="1">
      <c r="A116" s="22" t="b">
        <v>0</v>
      </c>
      <c r="B116" s="23">
        <v>112.0</v>
      </c>
      <c r="C116" s="24" t="s">
        <v>352</v>
      </c>
      <c r="D116" s="34" t="s">
        <v>353</v>
      </c>
      <c r="E116" s="26" t="s">
        <v>354</v>
      </c>
      <c r="F116" s="27">
        <v>5000.0</v>
      </c>
      <c r="G116" s="41"/>
    </row>
    <row r="117" ht="22.5" customHeight="1">
      <c r="A117" s="14" t="b">
        <v>0</v>
      </c>
      <c r="B117" s="15">
        <v>113.0</v>
      </c>
      <c r="C117" s="16" t="s">
        <v>355</v>
      </c>
      <c r="D117" s="32" t="s">
        <v>356</v>
      </c>
      <c r="E117" s="18" t="s">
        <v>357</v>
      </c>
      <c r="F117" s="16">
        <v>600.0</v>
      </c>
      <c r="G117" s="19"/>
    </row>
    <row r="118" ht="22.5" customHeight="1">
      <c r="A118" s="22" t="b">
        <v>0</v>
      </c>
      <c r="B118" s="23">
        <v>114.0</v>
      </c>
      <c r="C118" s="24" t="s">
        <v>358</v>
      </c>
      <c r="D118" s="34" t="s">
        <v>359</v>
      </c>
      <c r="E118" s="26" t="s">
        <v>360</v>
      </c>
      <c r="F118" s="27">
        <v>1500.0</v>
      </c>
      <c r="G118" s="28"/>
    </row>
    <row r="119" ht="22.5" customHeight="1">
      <c r="A119" s="14" t="b">
        <v>0</v>
      </c>
      <c r="B119" s="15">
        <v>115.0</v>
      </c>
      <c r="C119" s="16" t="s">
        <v>361</v>
      </c>
      <c r="D119" s="32" t="s">
        <v>362</v>
      </c>
      <c r="E119" s="18" t="s">
        <v>363</v>
      </c>
      <c r="F119" s="30">
        <v>3000.0</v>
      </c>
      <c r="G119" s="19"/>
    </row>
    <row r="120" ht="22.5" customHeight="1">
      <c r="A120" s="22" t="b">
        <v>0</v>
      </c>
      <c r="B120" s="23">
        <v>116.0</v>
      </c>
      <c r="C120" s="24" t="s">
        <v>364</v>
      </c>
      <c r="D120" s="34" t="s">
        <v>365</v>
      </c>
      <c r="E120" s="26" t="s">
        <v>366</v>
      </c>
      <c r="F120" s="27">
        <v>1000.0</v>
      </c>
    </row>
    <row r="121" ht="22.5" customHeight="1">
      <c r="A121" s="14" t="b">
        <v>0</v>
      </c>
      <c r="B121" s="15">
        <v>117.0</v>
      </c>
      <c r="C121" s="16" t="s">
        <v>367</v>
      </c>
      <c r="D121" s="32" t="s">
        <v>368</v>
      </c>
      <c r="E121" s="18" t="s">
        <v>369</v>
      </c>
      <c r="F121" s="16">
        <v>800.0</v>
      </c>
    </row>
    <row r="122" ht="22.5" customHeight="1">
      <c r="A122" s="22" t="b">
        <v>0</v>
      </c>
      <c r="B122" s="23">
        <v>118.0</v>
      </c>
      <c r="C122" s="24" t="s">
        <v>370</v>
      </c>
      <c r="D122" s="34" t="s">
        <v>371</v>
      </c>
      <c r="E122" s="26" t="s">
        <v>372</v>
      </c>
      <c r="F122" s="27">
        <v>2500.0</v>
      </c>
      <c r="G122" s="28"/>
    </row>
    <row r="123" ht="22.5" customHeight="1">
      <c r="A123" s="14" t="b">
        <v>0</v>
      </c>
      <c r="B123" s="15">
        <v>119.0</v>
      </c>
      <c r="C123" s="16" t="s">
        <v>373</v>
      </c>
      <c r="D123" s="32" t="s">
        <v>374</v>
      </c>
      <c r="E123" s="18" t="s">
        <v>375</v>
      </c>
      <c r="F123" s="16">
        <v>400.0</v>
      </c>
      <c r="G123" s="19"/>
    </row>
    <row r="124" ht="22.5" customHeight="1">
      <c r="A124" s="22" t="b">
        <v>0</v>
      </c>
      <c r="B124" s="23">
        <v>120.0</v>
      </c>
      <c r="C124" s="24" t="s">
        <v>376</v>
      </c>
      <c r="D124" s="34" t="s">
        <v>377</v>
      </c>
      <c r="E124" s="26" t="s">
        <v>378</v>
      </c>
      <c r="F124" s="27">
        <v>4500.0</v>
      </c>
      <c r="G124" s="28"/>
    </row>
    <row r="125" ht="22.5" customHeight="1">
      <c r="A125" s="14" t="b">
        <v>0</v>
      </c>
      <c r="B125" s="15">
        <v>121.0</v>
      </c>
      <c r="C125" s="16" t="s">
        <v>379</v>
      </c>
      <c r="D125" s="32" t="s">
        <v>380</v>
      </c>
      <c r="E125" s="18" t="s">
        <v>381</v>
      </c>
      <c r="F125" s="30">
        <v>1000.0</v>
      </c>
      <c r="G125" s="19"/>
    </row>
    <row r="126" ht="22.5" customHeight="1">
      <c r="A126" s="22" t="b">
        <v>0</v>
      </c>
      <c r="B126" s="23">
        <v>122.0</v>
      </c>
      <c r="C126" s="24" t="s">
        <v>382</v>
      </c>
      <c r="D126" s="34" t="s">
        <v>383</v>
      </c>
      <c r="E126" s="26" t="s">
        <v>384</v>
      </c>
      <c r="F126" s="27">
        <v>2000.0</v>
      </c>
      <c r="G126" s="28"/>
    </row>
    <row r="127" ht="22.5" customHeight="1">
      <c r="A127" s="14" t="b">
        <v>0</v>
      </c>
      <c r="B127" s="15">
        <v>123.0</v>
      </c>
      <c r="C127" s="16" t="s">
        <v>385</v>
      </c>
      <c r="D127" s="32" t="s">
        <v>386</v>
      </c>
      <c r="E127" s="18" t="s">
        <v>387</v>
      </c>
      <c r="F127" s="30">
        <v>5000.0</v>
      </c>
      <c r="G127" s="19"/>
    </row>
    <row r="128" ht="22.5" customHeight="1">
      <c r="A128" s="22" t="b">
        <v>0</v>
      </c>
      <c r="B128" s="23">
        <v>124.0</v>
      </c>
      <c r="C128" s="24" t="s">
        <v>388</v>
      </c>
      <c r="D128" s="34" t="s">
        <v>389</v>
      </c>
      <c r="E128" s="26" t="s">
        <v>390</v>
      </c>
      <c r="F128" s="27">
        <v>1200.0</v>
      </c>
      <c r="G128" s="28"/>
    </row>
    <row r="129" ht="22.5" customHeight="1">
      <c r="A129" s="14" t="b">
        <v>0</v>
      </c>
      <c r="B129" s="15">
        <v>125.0</v>
      </c>
      <c r="C129" s="16" t="s">
        <v>391</v>
      </c>
      <c r="D129" s="32" t="s">
        <v>392</v>
      </c>
      <c r="E129" s="18" t="s">
        <v>393</v>
      </c>
      <c r="F129" s="16">
        <v>700.0</v>
      </c>
      <c r="G129" s="19"/>
    </row>
    <row r="130" ht="22.5" customHeight="1">
      <c r="A130" s="22" t="b">
        <v>0</v>
      </c>
      <c r="B130" s="23">
        <v>126.0</v>
      </c>
      <c r="C130" s="24" t="s">
        <v>394</v>
      </c>
      <c r="D130" s="34" t="s">
        <v>395</v>
      </c>
      <c r="E130" s="26" t="s">
        <v>396</v>
      </c>
      <c r="F130" s="27">
        <v>3500.0</v>
      </c>
      <c r="G130" s="28"/>
    </row>
    <row r="131" ht="22.5" customHeight="1">
      <c r="A131" s="14" t="b">
        <v>0</v>
      </c>
      <c r="B131" s="15">
        <v>127.0</v>
      </c>
      <c r="C131" s="16" t="s">
        <v>397</v>
      </c>
      <c r="D131" s="32" t="s">
        <v>398</v>
      </c>
      <c r="E131" s="18" t="s">
        <v>399</v>
      </c>
      <c r="F131" s="30">
        <v>1500.0</v>
      </c>
      <c r="G131" s="19"/>
    </row>
    <row r="132" ht="22.5" customHeight="1">
      <c r="A132" s="22" t="b">
        <v>0</v>
      </c>
      <c r="B132" s="23">
        <v>128.0</v>
      </c>
      <c r="C132" s="24" t="s">
        <v>400</v>
      </c>
      <c r="D132" s="34" t="s">
        <v>401</v>
      </c>
      <c r="E132" s="26" t="s">
        <v>402</v>
      </c>
      <c r="F132" s="27">
        <v>2200.0</v>
      </c>
      <c r="G132" s="28"/>
    </row>
    <row r="133" ht="22.5" customHeight="1">
      <c r="A133" s="14" t="b">
        <v>0</v>
      </c>
      <c r="B133" s="15">
        <v>129.0</v>
      </c>
      <c r="C133" s="16" t="s">
        <v>403</v>
      </c>
      <c r="D133" s="32" t="s">
        <v>404</v>
      </c>
      <c r="E133" s="18" t="s">
        <v>405</v>
      </c>
      <c r="F133" s="16">
        <v>300.0</v>
      </c>
      <c r="G133" s="19"/>
    </row>
    <row r="134" ht="22.5" customHeight="1">
      <c r="A134" s="22" t="b">
        <v>0</v>
      </c>
      <c r="B134" s="23">
        <v>130.0</v>
      </c>
      <c r="C134" s="24" t="s">
        <v>406</v>
      </c>
      <c r="D134" s="34" t="s">
        <v>407</v>
      </c>
      <c r="E134" s="26" t="s">
        <v>408</v>
      </c>
      <c r="F134" s="27">
        <v>1000.0</v>
      </c>
      <c r="G134" s="28"/>
    </row>
    <row r="135" ht="22.5" customHeight="1">
      <c r="A135" s="14" t="b">
        <v>0</v>
      </c>
      <c r="B135" s="15">
        <v>131.0</v>
      </c>
      <c r="C135" s="16" t="s">
        <v>409</v>
      </c>
      <c r="D135" s="32" t="s">
        <v>410</v>
      </c>
      <c r="E135" s="18" t="s">
        <v>411</v>
      </c>
      <c r="F135" s="30">
        <v>2500.0</v>
      </c>
      <c r="G135" s="19"/>
    </row>
    <row r="136" ht="22.5" customHeight="1">
      <c r="A136" s="22" t="b">
        <v>0</v>
      </c>
      <c r="B136" s="23">
        <v>132.0</v>
      </c>
      <c r="C136" s="24" t="s">
        <v>412</v>
      </c>
      <c r="D136" s="34" t="s">
        <v>413</v>
      </c>
      <c r="E136" s="26" t="s">
        <v>414</v>
      </c>
      <c r="F136" s="27">
        <v>1800.0</v>
      </c>
      <c r="G136" s="28"/>
    </row>
    <row r="137" ht="22.5" customHeight="1">
      <c r="A137" s="14" t="b">
        <v>0</v>
      </c>
      <c r="B137" s="15">
        <v>133.0</v>
      </c>
      <c r="C137" s="16" t="s">
        <v>415</v>
      </c>
      <c r="D137" s="32" t="s">
        <v>416</v>
      </c>
      <c r="E137" s="18" t="s">
        <v>417</v>
      </c>
      <c r="F137" s="16">
        <v>600.0</v>
      </c>
      <c r="G137" s="19"/>
    </row>
    <row r="138" ht="22.5" customHeight="1">
      <c r="A138" s="22" t="b">
        <v>0</v>
      </c>
      <c r="B138" s="23">
        <v>134.0</v>
      </c>
      <c r="C138" s="24" t="s">
        <v>418</v>
      </c>
      <c r="D138" s="34" t="s">
        <v>419</v>
      </c>
      <c r="E138" s="26" t="s">
        <v>420</v>
      </c>
      <c r="F138" s="27">
        <v>4000.0</v>
      </c>
      <c r="G138" s="28"/>
    </row>
    <row r="139" ht="22.5" customHeight="1">
      <c r="A139" s="14" t="b">
        <v>0</v>
      </c>
      <c r="B139" s="15">
        <v>135.0</v>
      </c>
      <c r="C139" s="16" t="s">
        <v>421</v>
      </c>
      <c r="D139" s="32" t="s">
        <v>422</v>
      </c>
      <c r="E139" s="18" t="s">
        <v>423</v>
      </c>
      <c r="F139" s="30">
        <v>1000.0</v>
      </c>
      <c r="G139" s="19"/>
    </row>
    <row r="140" ht="22.5" customHeight="1">
      <c r="A140" s="22" t="b">
        <v>0</v>
      </c>
      <c r="B140" s="23">
        <v>136.0</v>
      </c>
      <c r="C140" s="24" t="s">
        <v>424</v>
      </c>
      <c r="D140" s="34" t="s">
        <v>425</v>
      </c>
      <c r="E140" s="26" t="s">
        <v>426</v>
      </c>
      <c r="F140" s="27">
        <v>2000.0</v>
      </c>
      <c r="G140" s="28"/>
    </row>
    <row r="141" ht="22.5" customHeight="1">
      <c r="A141" s="14" t="b">
        <v>0</v>
      </c>
      <c r="B141" s="15">
        <v>137.0</v>
      </c>
      <c r="C141" s="16" t="s">
        <v>427</v>
      </c>
      <c r="D141" s="32" t="s">
        <v>428</v>
      </c>
      <c r="E141" s="18" t="s">
        <v>429</v>
      </c>
      <c r="F141" s="30">
        <v>5000.0</v>
      </c>
      <c r="G141" s="19"/>
    </row>
    <row r="142" ht="22.5" customHeight="1">
      <c r="A142" s="22" t="b">
        <v>0</v>
      </c>
      <c r="B142" s="23">
        <v>138.0</v>
      </c>
      <c r="C142" s="24" t="s">
        <v>430</v>
      </c>
      <c r="D142" s="34" t="s">
        <v>431</v>
      </c>
      <c r="E142" s="26" t="s">
        <v>432</v>
      </c>
      <c r="F142" s="24">
        <v>500.0</v>
      </c>
      <c r="G142" s="28"/>
    </row>
    <row r="143" ht="22.5" customHeight="1">
      <c r="A143" s="14" t="b">
        <v>0</v>
      </c>
      <c r="B143" s="15">
        <v>139.0</v>
      </c>
      <c r="C143" s="16" t="s">
        <v>433</v>
      </c>
      <c r="D143" s="32" t="s">
        <v>434</v>
      </c>
      <c r="E143" s="18" t="s">
        <v>435</v>
      </c>
      <c r="F143" s="30">
        <v>1500.0</v>
      </c>
      <c r="G143" s="19"/>
    </row>
    <row r="144" ht="22.5" customHeight="1">
      <c r="A144" s="22" t="b">
        <v>0</v>
      </c>
      <c r="B144" s="23">
        <v>140.0</v>
      </c>
      <c r="C144" s="24" t="s">
        <v>436</v>
      </c>
      <c r="D144" s="34" t="s">
        <v>437</v>
      </c>
      <c r="E144" s="26" t="s">
        <v>438</v>
      </c>
      <c r="F144" s="27">
        <v>3000.0</v>
      </c>
      <c r="G144" s="28"/>
    </row>
    <row r="145" ht="22.5" customHeight="1">
      <c r="A145" s="14" t="b">
        <v>0</v>
      </c>
      <c r="B145" s="15">
        <v>141.0</v>
      </c>
      <c r="C145" s="16" t="s">
        <v>439</v>
      </c>
      <c r="D145" s="32" t="s">
        <v>440</v>
      </c>
      <c r="E145" s="18" t="s">
        <v>441</v>
      </c>
      <c r="F145" s="30">
        <v>1200.0</v>
      </c>
      <c r="G145" s="19"/>
    </row>
    <row r="146" ht="22.5" customHeight="1">
      <c r="A146" s="22" t="b">
        <v>0</v>
      </c>
      <c r="B146" s="23">
        <v>142.0</v>
      </c>
      <c r="C146" s="24" t="s">
        <v>442</v>
      </c>
      <c r="D146" s="34" t="s">
        <v>443</v>
      </c>
      <c r="E146" s="26" t="s">
        <v>444</v>
      </c>
      <c r="F146" s="24">
        <v>900.0</v>
      </c>
      <c r="G146" s="28"/>
    </row>
    <row r="147" ht="22.5" customHeight="1">
      <c r="A147" s="14" t="b">
        <v>0</v>
      </c>
      <c r="B147" s="15">
        <v>143.0</v>
      </c>
      <c r="C147" s="16" t="s">
        <v>445</v>
      </c>
      <c r="D147" s="32" t="s">
        <v>446</v>
      </c>
      <c r="E147" s="18" t="s">
        <v>447</v>
      </c>
      <c r="F147" s="30">
        <v>2500.0</v>
      </c>
      <c r="G147" s="19"/>
    </row>
    <row r="148" ht="22.5" customHeight="1">
      <c r="A148" s="22" t="b">
        <v>0</v>
      </c>
      <c r="B148" s="23">
        <v>144.0</v>
      </c>
      <c r="C148" s="24" t="s">
        <v>448</v>
      </c>
      <c r="D148" s="34" t="s">
        <v>449</v>
      </c>
      <c r="E148" s="26" t="s">
        <v>450</v>
      </c>
      <c r="F148" s="24">
        <v>200.0</v>
      </c>
      <c r="G148" s="28"/>
    </row>
    <row r="149" ht="22.5" customHeight="1">
      <c r="A149" s="14" t="b">
        <v>0</v>
      </c>
      <c r="B149" s="15">
        <v>145.0</v>
      </c>
      <c r="C149" s="16" t="s">
        <v>451</v>
      </c>
      <c r="D149" s="32" t="s">
        <v>452</v>
      </c>
      <c r="E149" s="18" t="s">
        <v>453</v>
      </c>
      <c r="F149" s="30">
        <v>1000.0</v>
      </c>
      <c r="G149" s="19"/>
    </row>
    <row r="150" ht="22.5" customHeight="1">
      <c r="A150" s="22" t="b">
        <v>0</v>
      </c>
      <c r="B150" s="23">
        <v>146.0</v>
      </c>
      <c r="C150" s="24" t="s">
        <v>454</v>
      </c>
      <c r="D150" s="34" t="s">
        <v>455</v>
      </c>
      <c r="E150" s="26" t="s">
        <v>456</v>
      </c>
      <c r="F150" s="27">
        <v>4500.0</v>
      </c>
      <c r="G150" s="28"/>
    </row>
    <row r="151" ht="22.5" customHeight="1">
      <c r="A151" s="14" t="b">
        <v>0</v>
      </c>
      <c r="B151" s="15">
        <v>147.0</v>
      </c>
      <c r="C151" s="16" t="s">
        <v>457</v>
      </c>
      <c r="D151" s="32" t="s">
        <v>458</v>
      </c>
      <c r="E151" s="18" t="s">
        <v>459</v>
      </c>
      <c r="F151" s="30">
        <v>2000.0</v>
      </c>
      <c r="G151" s="19"/>
    </row>
    <row r="152" ht="22.5" customHeight="1">
      <c r="A152" s="22" t="b">
        <v>0</v>
      </c>
      <c r="B152" s="23">
        <v>148.0</v>
      </c>
      <c r="C152" s="24" t="s">
        <v>460</v>
      </c>
      <c r="D152" s="34" t="s">
        <v>461</v>
      </c>
      <c r="E152" s="26" t="s">
        <v>462</v>
      </c>
      <c r="F152" s="27">
        <v>5000.0</v>
      </c>
      <c r="G152" s="28"/>
    </row>
    <row r="153" ht="22.5" customHeight="1">
      <c r="A153" s="14" t="b">
        <v>0</v>
      </c>
      <c r="B153" s="15">
        <v>149.0</v>
      </c>
      <c r="C153" s="16" t="s">
        <v>463</v>
      </c>
      <c r="D153" s="32" t="s">
        <v>464</v>
      </c>
      <c r="E153" s="18" t="s">
        <v>465</v>
      </c>
      <c r="F153" s="16">
        <v>700.0</v>
      </c>
      <c r="G153" s="19"/>
    </row>
    <row r="154" ht="22.5" customHeight="1">
      <c r="A154" s="22" t="b">
        <v>0</v>
      </c>
      <c r="B154" s="23">
        <v>150.0</v>
      </c>
      <c r="C154" s="24" t="s">
        <v>466</v>
      </c>
      <c r="D154" s="34" t="s">
        <v>467</v>
      </c>
      <c r="E154" s="26" t="s">
        <v>468</v>
      </c>
      <c r="F154" s="27">
        <v>1500.0</v>
      </c>
      <c r="G154" s="28"/>
    </row>
    <row r="155" ht="22.5" customHeight="1">
      <c r="A155" s="14" t="b">
        <v>0</v>
      </c>
      <c r="B155" s="15">
        <v>151.0</v>
      </c>
      <c r="C155" s="16" t="s">
        <v>469</v>
      </c>
      <c r="D155" s="32" t="s">
        <v>470</v>
      </c>
      <c r="E155" s="18" t="s">
        <v>471</v>
      </c>
      <c r="F155" s="30">
        <v>3500.0</v>
      </c>
      <c r="G155" s="19"/>
    </row>
    <row r="156" ht="22.5" customHeight="1">
      <c r="A156" s="22" t="b">
        <v>0</v>
      </c>
      <c r="B156" s="23">
        <v>152.0</v>
      </c>
      <c r="C156" s="24" t="s">
        <v>472</v>
      </c>
      <c r="D156" s="34" t="s">
        <v>473</v>
      </c>
      <c r="E156" s="26" t="s">
        <v>474</v>
      </c>
      <c r="F156" s="27">
        <v>1000.0</v>
      </c>
      <c r="G156" s="28"/>
    </row>
    <row r="157" ht="22.5" customHeight="1">
      <c r="A157" s="14" t="b">
        <v>0</v>
      </c>
      <c r="B157" s="15">
        <v>153.0</v>
      </c>
      <c r="C157" s="16" t="s">
        <v>475</v>
      </c>
      <c r="D157" s="32" t="s">
        <v>476</v>
      </c>
      <c r="E157" s="18" t="s">
        <v>477</v>
      </c>
      <c r="F157" s="16">
        <v>800.0</v>
      </c>
      <c r="G157" s="19"/>
    </row>
    <row r="158" ht="22.5" customHeight="1">
      <c r="A158" s="22" t="b">
        <v>0</v>
      </c>
      <c r="B158" s="23">
        <v>154.0</v>
      </c>
      <c r="C158" s="24" t="s">
        <v>478</v>
      </c>
      <c r="D158" s="34" t="s">
        <v>479</v>
      </c>
      <c r="E158" s="26" t="s">
        <v>480</v>
      </c>
      <c r="F158" s="27">
        <v>2200.0</v>
      </c>
      <c r="G158" s="28"/>
    </row>
    <row r="159" ht="22.5" customHeight="1">
      <c r="A159" s="14" t="b">
        <v>0</v>
      </c>
      <c r="B159" s="15">
        <v>155.0</v>
      </c>
      <c r="C159" s="16" t="s">
        <v>481</v>
      </c>
      <c r="D159" s="32" t="s">
        <v>482</v>
      </c>
      <c r="E159" s="18" t="s">
        <v>483</v>
      </c>
      <c r="F159" s="30">
        <v>1200.0</v>
      </c>
      <c r="G159" s="19"/>
    </row>
    <row r="160" ht="22.5" customHeight="1">
      <c r="A160" s="22" t="b">
        <v>0</v>
      </c>
      <c r="B160" s="23">
        <v>156.0</v>
      </c>
      <c r="C160" s="24" t="s">
        <v>484</v>
      </c>
      <c r="D160" s="34" t="s">
        <v>485</v>
      </c>
      <c r="E160" s="26" t="s">
        <v>486</v>
      </c>
      <c r="F160" s="27">
        <v>4000.0</v>
      </c>
      <c r="G160" s="28"/>
    </row>
    <row r="161" ht="22.5" customHeight="1">
      <c r="A161" s="14" t="b">
        <v>0</v>
      </c>
      <c r="B161" s="15">
        <v>157.0</v>
      </c>
      <c r="C161" s="16" t="s">
        <v>487</v>
      </c>
      <c r="D161" s="32" t="s">
        <v>488</v>
      </c>
      <c r="E161" s="18" t="s">
        <v>489</v>
      </c>
      <c r="F161" s="16">
        <v>500.0</v>
      </c>
      <c r="G161" s="19"/>
    </row>
    <row r="162" ht="22.5" customHeight="1">
      <c r="A162" s="22" t="b">
        <v>0</v>
      </c>
      <c r="B162" s="23">
        <v>158.0</v>
      </c>
      <c r="C162" s="24" t="s">
        <v>490</v>
      </c>
      <c r="D162" s="34" t="s">
        <v>491</v>
      </c>
      <c r="E162" s="26" t="s">
        <v>492</v>
      </c>
      <c r="F162" s="27">
        <v>2500.0</v>
      </c>
      <c r="G162" s="28"/>
    </row>
    <row r="163" ht="22.5" customHeight="1">
      <c r="A163" s="14" t="b">
        <v>0</v>
      </c>
      <c r="B163" s="15">
        <v>159.0</v>
      </c>
      <c r="C163" s="16" t="s">
        <v>493</v>
      </c>
      <c r="D163" s="32" t="s">
        <v>494</v>
      </c>
      <c r="E163" s="18" t="s">
        <v>495</v>
      </c>
      <c r="F163" s="30">
        <v>5000.0</v>
      </c>
      <c r="G163" s="19"/>
    </row>
    <row r="164" ht="22.5" customHeight="1">
      <c r="A164" s="22" t="b">
        <v>0</v>
      </c>
      <c r="B164" s="23">
        <v>160.0</v>
      </c>
      <c r="C164" s="24" t="s">
        <v>496</v>
      </c>
      <c r="D164" s="34" t="s">
        <v>497</v>
      </c>
      <c r="E164" s="26" t="s">
        <v>498</v>
      </c>
      <c r="F164" s="27">
        <v>1000.0</v>
      </c>
      <c r="G164" s="28"/>
    </row>
    <row r="165" ht="22.5" customHeight="1">
      <c r="A165" s="14" t="b">
        <v>0</v>
      </c>
      <c r="B165" s="15">
        <v>161.0</v>
      </c>
      <c r="C165" s="16" t="s">
        <v>499</v>
      </c>
      <c r="D165" s="32" t="s">
        <v>500</v>
      </c>
      <c r="E165" s="18" t="s">
        <v>501</v>
      </c>
      <c r="F165" s="30">
        <v>1500.0</v>
      </c>
      <c r="G165" s="19"/>
    </row>
    <row r="166" ht="22.5" customHeight="1">
      <c r="A166" s="22" t="b">
        <v>0</v>
      </c>
      <c r="B166" s="23">
        <v>162.0</v>
      </c>
      <c r="C166" s="24" t="s">
        <v>502</v>
      </c>
      <c r="D166" s="34" t="s">
        <v>503</v>
      </c>
      <c r="E166" s="26" t="s">
        <v>504</v>
      </c>
      <c r="F166" s="27">
        <v>3000.0</v>
      </c>
      <c r="G166" s="28"/>
    </row>
    <row r="167" ht="22.5" customHeight="1">
      <c r="A167" s="14" t="b">
        <v>0</v>
      </c>
      <c r="B167" s="15">
        <v>163.0</v>
      </c>
      <c r="C167" s="16" t="s">
        <v>505</v>
      </c>
      <c r="D167" s="32" t="s">
        <v>506</v>
      </c>
      <c r="E167" s="18" t="s">
        <v>507</v>
      </c>
      <c r="F167" s="16">
        <v>600.0</v>
      </c>
      <c r="G167" s="19"/>
    </row>
    <row r="168" ht="22.5" customHeight="1">
      <c r="A168" s="22" t="b">
        <v>0</v>
      </c>
      <c r="B168" s="23">
        <v>164.0</v>
      </c>
      <c r="C168" s="24" t="s">
        <v>508</v>
      </c>
      <c r="D168" s="34" t="s">
        <v>509</v>
      </c>
      <c r="E168" s="26" t="s">
        <v>510</v>
      </c>
      <c r="F168" s="27">
        <v>2000.0</v>
      </c>
      <c r="G168" s="28"/>
    </row>
    <row r="169" ht="22.5" customHeight="1">
      <c r="A169" s="14" t="b">
        <v>0</v>
      </c>
      <c r="B169" s="15">
        <v>165.0</v>
      </c>
      <c r="C169" s="16" t="s">
        <v>511</v>
      </c>
      <c r="D169" s="32" t="s">
        <v>512</v>
      </c>
      <c r="E169" s="18" t="s">
        <v>513</v>
      </c>
      <c r="F169" s="30">
        <v>1200.0</v>
      </c>
      <c r="G169" s="19"/>
    </row>
    <row r="170" ht="22.5" customHeight="1">
      <c r="A170" s="22" t="b">
        <v>0</v>
      </c>
      <c r="B170" s="23">
        <v>166.0</v>
      </c>
      <c r="C170" s="24" t="s">
        <v>514</v>
      </c>
      <c r="D170" s="34" t="s">
        <v>515</v>
      </c>
      <c r="E170" s="26" t="s">
        <v>516</v>
      </c>
      <c r="F170" s="27">
        <v>4500.0</v>
      </c>
      <c r="G170" s="28"/>
    </row>
    <row r="171" ht="22.5" customHeight="1">
      <c r="A171" s="14" t="b">
        <v>0</v>
      </c>
      <c r="B171" s="15">
        <v>167.0</v>
      </c>
      <c r="C171" s="16" t="s">
        <v>517</v>
      </c>
      <c r="D171" s="32" t="s">
        <v>518</v>
      </c>
      <c r="E171" s="18" t="s">
        <v>519</v>
      </c>
      <c r="F171" s="16">
        <v>300.0</v>
      </c>
      <c r="G171" s="19"/>
    </row>
    <row r="172" ht="22.5" customHeight="1">
      <c r="A172" s="22" t="b">
        <v>0</v>
      </c>
      <c r="B172" s="23">
        <v>168.0</v>
      </c>
      <c r="C172" s="24" t="s">
        <v>520</v>
      </c>
      <c r="D172" s="34" t="s">
        <v>521</v>
      </c>
      <c r="E172" s="26" t="s">
        <v>522</v>
      </c>
      <c r="F172" s="27">
        <v>1000.0</v>
      </c>
      <c r="G172" s="28"/>
    </row>
    <row r="173" ht="22.5" customHeight="1">
      <c r="A173" s="14" t="b">
        <v>0</v>
      </c>
      <c r="B173" s="15">
        <v>169.0</v>
      </c>
      <c r="C173" s="16" t="s">
        <v>523</v>
      </c>
      <c r="D173" s="32" t="s">
        <v>524</v>
      </c>
      <c r="E173" s="18" t="s">
        <v>525</v>
      </c>
      <c r="F173" s="30">
        <v>2500.0</v>
      </c>
      <c r="G173" s="19"/>
    </row>
    <row r="174" ht="22.5" customHeight="1">
      <c r="A174" s="22" t="b">
        <v>0</v>
      </c>
      <c r="B174" s="23">
        <v>170.0</v>
      </c>
      <c r="C174" s="24" t="s">
        <v>526</v>
      </c>
      <c r="D174" s="34" t="s">
        <v>527</v>
      </c>
      <c r="E174" s="26" t="s">
        <v>528</v>
      </c>
      <c r="F174" s="27">
        <v>5000.0</v>
      </c>
      <c r="G174" s="28"/>
    </row>
    <row r="175" ht="22.5" customHeight="1">
      <c r="A175" s="14" t="b">
        <v>0</v>
      </c>
      <c r="B175" s="15">
        <v>171.0</v>
      </c>
      <c r="C175" s="16" t="s">
        <v>529</v>
      </c>
      <c r="D175" s="32" t="s">
        <v>530</v>
      </c>
      <c r="E175" s="18" t="s">
        <v>531</v>
      </c>
      <c r="F175" s="30">
        <v>1500.0</v>
      </c>
      <c r="G175" s="19"/>
    </row>
    <row r="176" ht="22.5" customHeight="1">
      <c r="A176" s="22" t="b">
        <v>0</v>
      </c>
      <c r="B176" s="23">
        <v>172.0</v>
      </c>
      <c r="C176" s="24" t="s">
        <v>532</v>
      </c>
      <c r="D176" s="34" t="s">
        <v>533</v>
      </c>
      <c r="E176" s="26" t="s">
        <v>534</v>
      </c>
      <c r="F176" s="27">
        <v>2000.0</v>
      </c>
      <c r="G176" s="28"/>
    </row>
    <row r="177" ht="22.5" customHeight="1">
      <c r="A177" s="14" t="b">
        <v>0</v>
      </c>
      <c r="B177" s="15">
        <v>173.0</v>
      </c>
      <c r="C177" s="16" t="s">
        <v>535</v>
      </c>
      <c r="D177" s="32" t="s">
        <v>536</v>
      </c>
      <c r="E177" s="18" t="s">
        <v>537</v>
      </c>
      <c r="F177" s="16">
        <v>700.0</v>
      </c>
      <c r="G177" s="19"/>
    </row>
    <row r="178" ht="22.5" customHeight="1">
      <c r="A178" s="22" t="b">
        <v>0</v>
      </c>
      <c r="B178" s="23">
        <v>174.0</v>
      </c>
      <c r="C178" s="24" t="s">
        <v>538</v>
      </c>
      <c r="D178" s="34" t="s">
        <v>539</v>
      </c>
      <c r="E178" s="26" t="s">
        <v>540</v>
      </c>
      <c r="F178" s="27">
        <v>3500.0</v>
      </c>
      <c r="G178" s="28"/>
    </row>
    <row r="179" ht="22.5" customHeight="1">
      <c r="A179" s="14" t="b">
        <v>0</v>
      </c>
      <c r="B179" s="15">
        <v>175.0</v>
      </c>
      <c r="C179" s="16" t="s">
        <v>541</v>
      </c>
      <c r="D179" s="32" t="s">
        <v>542</v>
      </c>
      <c r="E179" s="18" t="s">
        <v>543</v>
      </c>
      <c r="F179" s="30">
        <v>1000.0</v>
      </c>
      <c r="G179" s="19"/>
    </row>
    <row r="180" ht="22.5" customHeight="1">
      <c r="A180" s="22" t="b">
        <v>0</v>
      </c>
      <c r="B180" s="23">
        <v>176.0</v>
      </c>
      <c r="C180" s="24" t="s">
        <v>544</v>
      </c>
      <c r="D180" s="34" t="s">
        <v>545</v>
      </c>
      <c r="E180" s="26" t="s">
        <v>546</v>
      </c>
      <c r="F180" s="27">
        <v>2200.0</v>
      </c>
      <c r="G180" s="28"/>
    </row>
    <row r="181" ht="22.5" customHeight="1">
      <c r="A181" s="14" t="b">
        <v>0</v>
      </c>
      <c r="B181" s="15">
        <v>177.0</v>
      </c>
      <c r="C181" s="16" t="s">
        <v>547</v>
      </c>
      <c r="D181" s="32" t="s">
        <v>548</v>
      </c>
      <c r="E181" s="18" t="s">
        <v>549</v>
      </c>
      <c r="F181" s="16">
        <v>400.0</v>
      </c>
      <c r="G181" s="19"/>
    </row>
    <row r="182" ht="22.5" customHeight="1">
      <c r="A182" s="22" t="b">
        <v>0</v>
      </c>
      <c r="B182" s="23">
        <v>178.0</v>
      </c>
      <c r="C182" s="24" t="s">
        <v>550</v>
      </c>
      <c r="D182" s="34" t="s">
        <v>551</v>
      </c>
      <c r="E182" s="26" t="s">
        <v>552</v>
      </c>
      <c r="F182" s="27">
        <v>1200.0</v>
      </c>
      <c r="G182" s="28"/>
    </row>
    <row r="183" ht="22.5" customHeight="1">
      <c r="A183" s="14" t="b">
        <v>0</v>
      </c>
      <c r="B183" s="15">
        <v>179.0</v>
      </c>
      <c r="C183" s="16" t="s">
        <v>553</v>
      </c>
      <c r="D183" s="32" t="s">
        <v>554</v>
      </c>
      <c r="E183" s="18" t="s">
        <v>555</v>
      </c>
      <c r="F183" s="30">
        <v>4000.0</v>
      </c>
      <c r="G183" s="19"/>
    </row>
    <row r="184" ht="22.5" customHeight="1">
      <c r="A184" s="22" t="b">
        <v>0</v>
      </c>
      <c r="B184" s="23">
        <v>180.0</v>
      </c>
      <c r="C184" s="24" t="s">
        <v>556</v>
      </c>
      <c r="D184" s="34" t="s">
        <v>557</v>
      </c>
      <c r="E184" s="26" t="s">
        <v>558</v>
      </c>
      <c r="F184" s="27">
        <v>1500.0</v>
      </c>
      <c r="G184" s="28"/>
    </row>
    <row r="185" ht="22.5" customHeight="1">
      <c r="A185" s="14" t="b">
        <v>0</v>
      </c>
      <c r="B185" s="15">
        <v>181.0</v>
      </c>
      <c r="C185" s="16" t="s">
        <v>559</v>
      </c>
      <c r="D185" s="32" t="s">
        <v>560</v>
      </c>
      <c r="E185" s="18" t="s">
        <v>561</v>
      </c>
      <c r="F185" s="30">
        <v>2500.0</v>
      </c>
      <c r="G185" s="19"/>
    </row>
    <row r="186" ht="22.5" customHeight="1">
      <c r="A186" s="22" t="b">
        <v>0</v>
      </c>
      <c r="B186" s="23">
        <v>182.0</v>
      </c>
      <c r="C186" s="24" t="s">
        <v>562</v>
      </c>
      <c r="D186" s="34" t="s">
        <v>563</v>
      </c>
      <c r="E186" s="26" t="s">
        <v>564</v>
      </c>
      <c r="F186" s="27">
        <v>5000.0</v>
      </c>
      <c r="G186" s="28"/>
    </row>
    <row r="187" ht="22.5" customHeight="1">
      <c r="A187" s="14" t="b">
        <v>0</v>
      </c>
      <c r="B187" s="15">
        <v>183.0</v>
      </c>
      <c r="C187" s="16" t="s">
        <v>565</v>
      </c>
      <c r="D187" s="32" t="s">
        <v>566</v>
      </c>
      <c r="E187" s="18" t="s">
        <v>567</v>
      </c>
      <c r="F187" s="16">
        <v>800.0</v>
      </c>
      <c r="G187" s="19"/>
    </row>
    <row r="188" ht="22.5" customHeight="1">
      <c r="A188" s="22" t="b">
        <v>0</v>
      </c>
      <c r="B188" s="23">
        <v>184.0</v>
      </c>
      <c r="C188" s="24" t="s">
        <v>568</v>
      </c>
      <c r="D188" s="34" t="s">
        <v>569</v>
      </c>
      <c r="E188" s="26" t="s">
        <v>570</v>
      </c>
      <c r="F188" s="27">
        <v>1000.0</v>
      </c>
      <c r="G188" s="28"/>
    </row>
    <row r="189" ht="22.5" customHeight="1">
      <c r="A189" s="14" t="b">
        <v>0</v>
      </c>
      <c r="B189" s="15">
        <v>185.0</v>
      </c>
      <c r="C189" s="16" t="s">
        <v>571</v>
      </c>
      <c r="D189" s="32" t="s">
        <v>572</v>
      </c>
      <c r="E189" s="18" t="s">
        <v>573</v>
      </c>
      <c r="F189" s="30">
        <v>3000.0</v>
      </c>
      <c r="G189" s="19"/>
    </row>
    <row r="190" ht="22.5" customHeight="1">
      <c r="A190" s="22" t="b">
        <v>0</v>
      </c>
      <c r="B190" s="23">
        <v>186.0</v>
      </c>
      <c r="C190" s="24" t="s">
        <v>574</v>
      </c>
      <c r="D190" s="34" t="s">
        <v>575</v>
      </c>
      <c r="E190" s="26" t="s">
        <v>576</v>
      </c>
      <c r="F190" s="27">
        <v>1200.0</v>
      </c>
      <c r="G190" s="28"/>
    </row>
    <row r="191" ht="22.5" customHeight="1">
      <c r="A191" s="14" t="b">
        <v>0</v>
      </c>
      <c r="B191" s="15">
        <v>187.0</v>
      </c>
      <c r="C191" s="16" t="s">
        <v>577</v>
      </c>
      <c r="D191" s="32" t="s">
        <v>578</v>
      </c>
      <c r="E191" s="18" t="s">
        <v>579</v>
      </c>
      <c r="F191" s="30">
        <v>2000.0</v>
      </c>
      <c r="G191" s="19"/>
    </row>
    <row r="192" ht="22.5" customHeight="1">
      <c r="A192" s="22" t="b">
        <v>0</v>
      </c>
      <c r="B192" s="23">
        <v>188.0</v>
      </c>
      <c r="C192" s="24" t="s">
        <v>580</v>
      </c>
      <c r="D192" s="34" t="s">
        <v>581</v>
      </c>
      <c r="E192" s="26" t="s">
        <v>582</v>
      </c>
      <c r="F192" s="24">
        <v>600.0</v>
      </c>
      <c r="G192" s="28"/>
    </row>
    <row r="193" ht="22.5" customHeight="1">
      <c r="A193" s="14" t="b">
        <v>0</v>
      </c>
      <c r="B193" s="15">
        <v>189.0</v>
      </c>
      <c r="C193" s="16" t="s">
        <v>583</v>
      </c>
      <c r="D193" s="32" t="s">
        <v>584</v>
      </c>
      <c r="E193" s="18" t="s">
        <v>585</v>
      </c>
      <c r="F193" s="30">
        <v>4500.0</v>
      </c>
      <c r="G193" s="19"/>
    </row>
    <row r="194" ht="22.5" customHeight="1">
      <c r="A194" s="22" t="b">
        <v>0</v>
      </c>
      <c r="B194" s="23">
        <v>190.0</v>
      </c>
      <c r="C194" s="24" t="s">
        <v>586</v>
      </c>
      <c r="D194" s="34" t="s">
        <v>587</v>
      </c>
      <c r="E194" s="26" t="s">
        <v>588</v>
      </c>
      <c r="F194" s="27">
        <v>1000.0</v>
      </c>
      <c r="G194" s="28"/>
    </row>
    <row r="195" ht="22.5" customHeight="1">
      <c r="A195" s="14" t="b">
        <v>0</v>
      </c>
      <c r="B195" s="15">
        <v>191.0</v>
      </c>
      <c r="C195" s="16" t="s">
        <v>589</v>
      </c>
      <c r="D195" s="32" t="s">
        <v>590</v>
      </c>
      <c r="E195" s="18" t="s">
        <v>591</v>
      </c>
      <c r="F195" s="30">
        <v>2500.0</v>
      </c>
      <c r="G195" s="19"/>
    </row>
    <row r="196" ht="22.5" customHeight="1">
      <c r="A196" s="22" t="b">
        <v>0</v>
      </c>
      <c r="B196" s="23">
        <v>192.0</v>
      </c>
      <c r="C196" s="24" t="s">
        <v>592</v>
      </c>
      <c r="D196" s="34" t="s">
        <v>593</v>
      </c>
      <c r="E196" s="26" t="s">
        <v>594</v>
      </c>
      <c r="F196" s="27">
        <v>5000.0</v>
      </c>
      <c r="G196" s="28"/>
    </row>
    <row r="197" ht="22.5" customHeight="1">
      <c r="A197" s="14" t="b">
        <v>0</v>
      </c>
      <c r="B197" s="15">
        <v>193.0</v>
      </c>
      <c r="C197" s="16" t="s">
        <v>595</v>
      </c>
      <c r="D197" s="32" t="s">
        <v>596</v>
      </c>
      <c r="E197" s="18" t="s">
        <v>597</v>
      </c>
      <c r="F197" s="30">
        <v>1500.0</v>
      </c>
      <c r="G197" s="19"/>
    </row>
    <row r="198" ht="22.5" customHeight="1">
      <c r="A198" s="22" t="b">
        <v>0</v>
      </c>
      <c r="B198" s="23">
        <v>194.0</v>
      </c>
      <c r="C198" s="24" t="s">
        <v>598</v>
      </c>
      <c r="D198" s="34" t="s">
        <v>599</v>
      </c>
      <c r="E198" s="26" t="s">
        <v>600</v>
      </c>
      <c r="F198" s="24">
        <v>700.0</v>
      </c>
      <c r="G198" s="28"/>
    </row>
    <row r="199" ht="22.5" customHeight="1">
      <c r="A199" s="14" t="b">
        <v>0</v>
      </c>
      <c r="B199" s="15">
        <v>195.0</v>
      </c>
      <c r="C199" s="16" t="s">
        <v>601</v>
      </c>
      <c r="D199" s="32" t="s">
        <v>602</v>
      </c>
      <c r="E199" s="18" t="s">
        <v>603</v>
      </c>
      <c r="F199" s="30">
        <v>3000.0</v>
      </c>
      <c r="G199" s="19"/>
    </row>
    <row r="200" ht="22.5" customHeight="1">
      <c r="A200" s="22" t="b">
        <v>0</v>
      </c>
      <c r="B200" s="23">
        <v>196.0</v>
      </c>
      <c r="C200" s="24" t="s">
        <v>604</v>
      </c>
      <c r="D200" s="34" t="s">
        <v>605</v>
      </c>
      <c r="E200" s="26" t="s">
        <v>606</v>
      </c>
      <c r="F200" s="27">
        <v>1200.0</v>
      </c>
      <c r="G200" s="28"/>
    </row>
    <row r="201" ht="22.5" customHeight="1">
      <c r="A201" s="14" t="b">
        <v>0</v>
      </c>
      <c r="B201" s="15">
        <v>197.0</v>
      </c>
      <c r="C201" s="16" t="s">
        <v>607</v>
      </c>
      <c r="D201" s="32" t="s">
        <v>608</v>
      </c>
      <c r="E201" s="18" t="s">
        <v>609</v>
      </c>
      <c r="F201" s="30">
        <v>2000.0</v>
      </c>
      <c r="G201" s="19"/>
    </row>
    <row r="202" ht="22.5" customHeight="1">
      <c r="A202" s="22" t="b">
        <v>0</v>
      </c>
      <c r="B202" s="23">
        <v>198.0</v>
      </c>
      <c r="C202" s="24" t="s">
        <v>610</v>
      </c>
      <c r="D202" s="34" t="s">
        <v>611</v>
      </c>
      <c r="E202" s="26" t="s">
        <v>612</v>
      </c>
      <c r="F202" s="24">
        <v>900.0</v>
      </c>
      <c r="G202" s="28"/>
    </row>
    <row r="203" ht="22.5" customHeight="1">
      <c r="A203" s="14" t="b">
        <v>0</v>
      </c>
      <c r="B203" s="15">
        <v>199.0</v>
      </c>
      <c r="C203" s="16" t="s">
        <v>613</v>
      </c>
      <c r="D203" s="32" t="s">
        <v>614</v>
      </c>
      <c r="E203" s="18" t="s">
        <v>615</v>
      </c>
      <c r="F203" s="30">
        <v>4000.0</v>
      </c>
      <c r="G203" s="19"/>
    </row>
    <row r="204" ht="22.5" customHeight="1">
      <c r="A204" s="22" t="b">
        <v>0</v>
      </c>
      <c r="B204" s="23">
        <v>200.0</v>
      </c>
      <c r="C204" s="24" t="s">
        <v>616</v>
      </c>
      <c r="D204" s="34" t="s">
        <v>617</v>
      </c>
      <c r="E204" s="26" t="s">
        <v>618</v>
      </c>
      <c r="F204" s="24">
        <v>500.0</v>
      </c>
      <c r="G204" s="28"/>
    </row>
  </sheetData>
  <autoFilter ref="$A$4:$G$145"/>
  <mergeCells count="3">
    <mergeCell ref="A1:J1"/>
    <mergeCell ref="A2:D2"/>
    <mergeCell ref="E2:F2"/>
  </mergeCells>
  <conditionalFormatting sqref="A4:H204 I52:M52">
    <cfRule type="cellIs" dxfId="0" priority="1" operator="equal">
      <formula>"TRUE"</formula>
    </cfRule>
  </conditionalFormatting>
  <conditionalFormatting sqref="A4:H204 I52:M52">
    <cfRule type="cellIs" dxfId="1" priority="2" operator="equal">
      <formula>"FALSE"</formula>
    </cfRule>
  </conditionalFormatting>
  <dataValidations>
    <dataValidation allowBlank="1" showDropDown="1" sqref="E5:E204"/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08"/>
    <hyperlink r:id="rId105" ref="D109"/>
    <hyperlink r:id="rId106" ref="D110"/>
    <hyperlink r:id="rId107" ref="D111"/>
    <hyperlink r:id="rId108" ref="D112"/>
    <hyperlink r:id="rId109" ref="D113"/>
    <hyperlink r:id="rId110" ref="D114"/>
    <hyperlink r:id="rId111" ref="D115"/>
    <hyperlink r:id="rId112" ref="D116"/>
    <hyperlink r:id="rId113" ref="D117"/>
    <hyperlink r:id="rId114" ref="D118"/>
    <hyperlink r:id="rId115" ref="D119"/>
    <hyperlink r:id="rId116" ref="D120"/>
    <hyperlink r:id="rId117" ref="D121"/>
    <hyperlink r:id="rId118" ref="D122"/>
    <hyperlink r:id="rId119" ref="D123"/>
    <hyperlink r:id="rId120" ref="D124"/>
    <hyperlink r:id="rId121" ref="D125"/>
    <hyperlink r:id="rId122" ref="D126"/>
    <hyperlink r:id="rId123" ref="D127"/>
    <hyperlink r:id="rId124" ref="D128"/>
    <hyperlink r:id="rId125" ref="D129"/>
    <hyperlink r:id="rId126" ref="D130"/>
    <hyperlink r:id="rId127" ref="D131"/>
    <hyperlink r:id="rId128" ref="D132"/>
    <hyperlink r:id="rId129" ref="D133"/>
    <hyperlink r:id="rId130" ref="D134"/>
    <hyperlink r:id="rId131" ref="D135"/>
    <hyperlink r:id="rId132" ref="D136"/>
    <hyperlink r:id="rId133" ref="D137"/>
    <hyperlink r:id="rId134" ref="D138"/>
    <hyperlink r:id="rId135" ref="D139"/>
    <hyperlink r:id="rId136" ref="D140"/>
    <hyperlink r:id="rId137" ref="D141"/>
    <hyperlink r:id="rId138" ref="D142"/>
    <hyperlink r:id="rId139" ref="D143"/>
    <hyperlink r:id="rId140" ref="D144"/>
    <hyperlink r:id="rId141" ref="D145"/>
    <hyperlink r:id="rId142" ref="D146"/>
    <hyperlink r:id="rId143" ref="D147"/>
    <hyperlink r:id="rId144" ref="D148"/>
    <hyperlink r:id="rId145" ref="D149"/>
    <hyperlink r:id="rId146" ref="D150"/>
    <hyperlink r:id="rId147" ref="D151"/>
    <hyperlink r:id="rId148" ref="D152"/>
    <hyperlink r:id="rId149" ref="D153"/>
    <hyperlink r:id="rId150" ref="D154"/>
    <hyperlink r:id="rId151" ref="D155"/>
    <hyperlink r:id="rId152" ref="D156"/>
    <hyperlink r:id="rId153" ref="D157"/>
    <hyperlink r:id="rId154" ref="D158"/>
    <hyperlink r:id="rId155" ref="D159"/>
    <hyperlink r:id="rId156" ref="D160"/>
    <hyperlink r:id="rId157" ref="D161"/>
    <hyperlink r:id="rId158" ref="D162"/>
    <hyperlink r:id="rId159" ref="D163"/>
    <hyperlink r:id="rId160" ref="D164"/>
    <hyperlink r:id="rId161" ref="D165"/>
    <hyperlink r:id="rId162" ref="D166"/>
    <hyperlink r:id="rId163" ref="D167"/>
    <hyperlink r:id="rId164" ref="D168"/>
    <hyperlink r:id="rId165" ref="D169"/>
    <hyperlink r:id="rId166" ref="D170"/>
    <hyperlink r:id="rId167" ref="D171"/>
    <hyperlink r:id="rId168" ref="D172"/>
    <hyperlink r:id="rId169" ref="D173"/>
    <hyperlink r:id="rId170" ref="D174"/>
    <hyperlink r:id="rId171" ref="D175"/>
    <hyperlink r:id="rId172" ref="D176"/>
    <hyperlink r:id="rId173" ref="D177"/>
    <hyperlink r:id="rId174" ref="D178"/>
    <hyperlink r:id="rId175" ref="D179"/>
    <hyperlink r:id="rId176" ref="D180"/>
    <hyperlink r:id="rId177" ref="D181"/>
    <hyperlink r:id="rId178" ref="D182"/>
    <hyperlink r:id="rId179" ref="D183"/>
    <hyperlink r:id="rId180" ref="D184"/>
    <hyperlink r:id="rId181" ref="D185"/>
    <hyperlink r:id="rId182" ref="D186"/>
    <hyperlink r:id="rId183" ref="D187"/>
    <hyperlink r:id="rId184" ref="D188"/>
    <hyperlink r:id="rId185" ref="D189"/>
    <hyperlink r:id="rId186" ref="D190"/>
    <hyperlink r:id="rId187" ref="D191"/>
    <hyperlink r:id="rId188" ref="D192"/>
    <hyperlink r:id="rId189" ref="D193"/>
    <hyperlink r:id="rId190" ref="D194"/>
    <hyperlink r:id="rId191" ref="D195"/>
    <hyperlink r:id="rId192" ref="D196"/>
    <hyperlink r:id="rId193" ref="D197"/>
    <hyperlink r:id="rId194" ref="D198"/>
    <hyperlink r:id="rId195" ref="D199"/>
    <hyperlink r:id="rId196" ref="D200"/>
    <hyperlink r:id="rId197" ref="D201"/>
    <hyperlink r:id="rId198" ref="D202"/>
    <hyperlink r:id="rId199" ref="D203"/>
    <hyperlink r:id="rId200" ref="D204"/>
  </hyperlinks>
  <drawing r:id="rId201"/>
  <tableParts count="3">
    <tablePart r:id="rId205"/>
    <tablePart r:id="rId206"/>
    <tablePart r:id="rId20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49.63"/>
    <col customWidth="1" min="3" max="3" width="18.88"/>
    <col customWidth="1" min="4" max="5" width="10.13"/>
    <col customWidth="1" min="6" max="6" width="10.5"/>
    <col customWidth="1" min="7" max="7" width="10.0"/>
    <col customWidth="1" min="8" max="8" width="10.88"/>
    <col customWidth="1" min="9" max="9" width="10.25"/>
    <col customWidth="1" min="10" max="10" width="9.38"/>
    <col customWidth="1" min="11" max="11" width="10.63"/>
    <col customWidth="1" min="12" max="12" width="10.38"/>
    <col customWidth="1" min="13" max="13" width="9.88"/>
    <col customWidth="1" min="14" max="14" width="10.5"/>
    <col customWidth="1" min="15" max="15" width="10.38"/>
    <col customWidth="1" min="16" max="16" width="11.88"/>
    <col customWidth="1" min="17" max="17" width="59.75"/>
  </cols>
  <sheetData>
    <row r="1" ht="49.5" customHeight="1">
      <c r="A1" s="1" t="s">
        <v>619</v>
      </c>
      <c r="Q1" s="47"/>
    </row>
    <row r="2">
      <c r="A2" s="7"/>
      <c r="B2" s="7"/>
      <c r="C2" s="4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22.5" customHeight="1">
      <c r="A3" s="49" t="s">
        <v>4</v>
      </c>
      <c r="B3" s="50" t="s">
        <v>5</v>
      </c>
      <c r="C3" s="51" t="s">
        <v>8</v>
      </c>
      <c r="D3" s="50" t="s">
        <v>620</v>
      </c>
      <c r="E3" s="52" t="s">
        <v>621</v>
      </c>
      <c r="F3" s="52" t="s">
        <v>622</v>
      </c>
      <c r="G3" s="52" t="s">
        <v>623</v>
      </c>
      <c r="H3" s="52" t="s">
        <v>624</v>
      </c>
      <c r="I3" s="52" t="s">
        <v>625</v>
      </c>
      <c r="J3" s="52" t="s">
        <v>626</v>
      </c>
      <c r="K3" s="52" t="s">
        <v>627</v>
      </c>
      <c r="L3" s="52" t="s">
        <v>628</v>
      </c>
      <c r="M3" s="52" t="s">
        <v>629</v>
      </c>
      <c r="N3" s="52" t="s">
        <v>630</v>
      </c>
      <c r="O3" s="52" t="s">
        <v>631</v>
      </c>
      <c r="P3" s="52" t="s">
        <v>47</v>
      </c>
      <c r="Q3" s="52" t="s">
        <v>9</v>
      </c>
    </row>
    <row r="4" ht="22.5" customHeight="1">
      <c r="A4" s="53">
        <v>1.0</v>
      </c>
      <c r="B4" s="54" t="s">
        <v>12</v>
      </c>
      <c r="C4" s="55">
        <v>500.0</v>
      </c>
      <c r="D4" s="56">
        <v>500.0</v>
      </c>
      <c r="E4" s="56">
        <v>500.0</v>
      </c>
      <c r="F4" s="56">
        <v>500.0</v>
      </c>
      <c r="G4" s="56">
        <v>0.0</v>
      </c>
      <c r="H4" s="56">
        <v>1000.0</v>
      </c>
      <c r="I4" s="56">
        <v>500.0</v>
      </c>
      <c r="J4" s="56">
        <v>500.0</v>
      </c>
      <c r="K4" s="56">
        <v>500.0</v>
      </c>
      <c r="L4" s="56">
        <v>500.0</v>
      </c>
      <c r="M4" s="56">
        <v>500.0</v>
      </c>
      <c r="N4" s="56">
        <v>500.0</v>
      </c>
      <c r="O4" s="56"/>
      <c r="P4" s="57">
        <f t="shared" ref="P4:P203" si="1">SUM(D4:O4)</f>
        <v>5500</v>
      </c>
      <c r="Q4" s="58"/>
    </row>
    <row r="5" ht="22.5" hidden="1" customHeight="1">
      <c r="A5" s="53">
        <v>2.0</v>
      </c>
      <c r="B5" s="54" t="s">
        <v>17</v>
      </c>
      <c r="C5" s="55">
        <v>1000.0</v>
      </c>
      <c r="D5" s="56">
        <v>0.0</v>
      </c>
      <c r="E5" s="56">
        <v>1000.0</v>
      </c>
      <c r="F5" s="56">
        <v>1000.0</v>
      </c>
      <c r="G5" s="56">
        <v>1000.0</v>
      </c>
      <c r="H5" s="56">
        <v>0.0</v>
      </c>
      <c r="I5" s="56">
        <v>2000.0</v>
      </c>
      <c r="J5" s="56">
        <v>0.0</v>
      </c>
      <c r="K5" s="56">
        <v>0.0</v>
      </c>
      <c r="L5" s="56">
        <v>0.0</v>
      </c>
      <c r="M5" s="56">
        <v>0.0</v>
      </c>
      <c r="N5" s="56">
        <v>1000.0</v>
      </c>
      <c r="O5" s="56"/>
      <c r="P5" s="56">
        <f t="shared" si="1"/>
        <v>6000</v>
      </c>
      <c r="Q5" s="58"/>
    </row>
    <row r="6" ht="22.5" hidden="1" customHeight="1">
      <c r="A6" s="53">
        <v>3.0</v>
      </c>
      <c r="B6" s="54" t="s">
        <v>22</v>
      </c>
      <c r="C6" s="55">
        <v>2000.0</v>
      </c>
      <c r="D6" s="56">
        <v>0.0</v>
      </c>
      <c r="E6" s="56">
        <v>2000.0</v>
      </c>
      <c r="F6" s="56">
        <v>0.0</v>
      </c>
      <c r="G6" s="56">
        <v>4000.0</v>
      </c>
      <c r="H6" s="56">
        <v>0.0</v>
      </c>
      <c r="I6" s="56">
        <v>0.0</v>
      </c>
      <c r="J6" s="56">
        <v>2000.0</v>
      </c>
      <c r="K6" s="56">
        <v>2000.0</v>
      </c>
      <c r="L6" s="56">
        <v>2000.0</v>
      </c>
      <c r="M6" s="56">
        <v>2000.0</v>
      </c>
      <c r="N6" s="56">
        <v>2000.0</v>
      </c>
      <c r="O6" s="56"/>
      <c r="P6" s="56">
        <f t="shared" si="1"/>
        <v>16000</v>
      </c>
      <c r="Q6" s="58"/>
    </row>
    <row r="7" ht="22.5" hidden="1" customHeight="1">
      <c r="A7" s="53">
        <v>4.0</v>
      </c>
      <c r="B7" s="54" t="s">
        <v>26</v>
      </c>
      <c r="C7" s="55">
        <v>5000.0</v>
      </c>
      <c r="D7" s="56">
        <v>5000.0</v>
      </c>
      <c r="E7" s="56">
        <v>5000.0</v>
      </c>
      <c r="F7" s="56">
        <v>5000.0</v>
      </c>
      <c r="G7" s="56">
        <v>5000.0</v>
      </c>
      <c r="H7" s="56">
        <v>5000.0</v>
      </c>
      <c r="I7" s="56">
        <v>5000.0</v>
      </c>
      <c r="J7" s="56">
        <v>5000.0</v>
      </c>
      <c r="K7" s="56">
        <v>5000.0</v>
      </c>
      <c r="L7" s="56">
        <v>5000.0</v>
      </c>
      <c r="M7" s="56">
        <v>5000.0</v>
      </c>
      <c r="N7" s="56">
        <v>0.0</v>
      </c>
      <c r="O7" s="56"/>
      <c r="P7" s="56">
        <f t="shared" si="1"/>
        <v>50000</v>
      </c>
      <c r="Q7" s="58"/>
    </row>
    <row r="8" ht="22.5" hidden="1" customHeight="1">
      <c r="A8" s="53">
        <v>5.0</v>
      </c>
      <c r="B8" s="54" t="s">
        <v>29</v>
      </c>
      <c r="C8" s="55">
        <v>300.0</v>
      </c>
      <c r="D8" s="56">
        <v>0.0</v>
      </c>
      <c r="E8" s="56">
        <v>300.0</v>
      </c>
      <c r="F8" s="56">
        <v>300.0</v>
      </c>
      <c r="G8" s="56">
        <v>300.0</v>
      </c>
      <c r="H8" s="56">
        <v>300.0</v>
      </c>
      <c r="I8" s="56">
        <v>300.0</v>
      </c>
      <c r="J8" s="56">
        <v>0.0</v>
      </c>
      <c r="K8" s="56">
        <v>0.0</v>
      </c>
      <c r="L8" s="56">
        <v>0.0</v>
      </c>
      <c r="M8" s="56">
        <v>300.0</v>
      </c>
      <c r="N8" s="56">
        <v>300.0</v>
      </c>
      <c r="O8" s="56"/>
      <c r="P8" s="56">
        <f t="shared" si="1"/>
        <v>2100</v>
      </c>
      <c r="Q8" s="58"/>
    </row>
    <row r="9" ht="22.5" hidden="1" customHeight="1">
      <c r="A9" s="53">
        <v>6.0</v>
      </c>
      <c r="B9" s="54" t="s">
        <v>32</v>
      </c>
      <c r="C9" s="55">
        <v>1500.0</v>
      </c>
      <c r="D9" s="56">
        <v>1500.0</v>
      </c>
      <c r="E9" s="56">
        <v>1500.0</v>
      </c>
      <c r="F9" s="56">
        <v>1500.0</v>
      </c>
      <c r="G9" s="56">
        <v>1500.0</v>
      </c>
      <c r="H9" s="56">
        <v>0.0</v>
      </c>
      <c r="I9" s="56">
        <v>1500.0</v>
      </c>
      <c r="J9" s="56">
        <v>1500.0</v>
      </c>
      <c r="K9" s="56">
        <v>0.0</v>
      </c>
      <c r="L9" s="56">
        <v>1500.0</v>
      </c>
      <c r="M9" s="56">
        <v>0.0</v>
      </c>
      <c r="N9" s="56">
        <v>1500.0</v>
      </c>
      <c r="O9" s="56"/>
      <c r="P9" s="56">
        <f t="shared" si="1"/>
        <v>12000</v>
      </c>
      <c r="Q9" s="58"/>
    </row>
    <row r="10" ht="22.5" customHeight="1">
      <c r="A10" s="53">
        <v>7.0</v>
      </c>
      <c r="B10" s="54" t="s">
        <v>35</v>
      </c>
      <c r="C10" s="55">
        <v>2500.0</v>
      </c>
      <c r="D10" s="56">
        <v>2500.0</v>
      </c>
      <c r="E10" s="56">
        <v>0.0</v>
      </c>
      <c r="F10" s="56">
        <v>5000.0</v>
      </c>
      <c r="G10" s="56">
        <v>0.0</v>
      </c>
      <c r="H10" s="56">
        <v>0.0</v>
      </c>
      <c r="I10" s="56">
        <v>7500.0</v>
      </c>
      <c r="J10" s="56">
        <v>2500.0</v>
      </c>
      <c r="K10" s="56">
        <v>0.0</v>
      </c>
      <c r="L10" s="56">
        <v>0.0</v>
      </c>
      <c r="M10" s="56">
        <v>2500.0</v>
      </c>
      <c r="N10" s="56">
        <v>2500.0</v>
      </c>
      <c r="O10" s="56"/>
      <c r="P10" s="56">
        <f t="shared" si="1"/>
        <v>22500</v>
      </c>
      <c r="Q10" s="58"/>
    </row>
    <row r="11" ht="22.5" customHeight="1">
      <c r="A11" s="53">
        <v>8.0</v>
      </c>
      <c r="B11" s="54" t="s">
        <v>38</v>
      </c>
      <c r="C11" s="55">
        <v>200.0</v>
      </c>
      <c r="D11" s="56">
        <v>0.0</v>
      </c>
      <c r="E11" s="56">
        <v>0.0</v>
      </c>
      <c r="F11" s="56">
        <v>400.0</v>
      </c>
      <c r="G11" s="56">
        <v>0.0</v>
      </c>
      <c r="H11" s="56">
        <v>1000.0</v>
      </c>
      <c r="I11" s="56">
        <v>0.0</v>
      </c>
      <c r="J11" s="56">
        <v>0.0</v>
      </c>
      <c r="K11" s="56">
        <v>0.0</v>
      </c>
      <c r="L11" s="56">
        <v>0.0</v>
      </c>
      <c r="M11" s="56">
        <v>0.0</v>
      </c>
      <c r="N11" s="56">
        <v>200.0</v>
      </c>
      <c r="O11" s="56"/>
      <c r="P11" s="56">
        <f t="shared" si="1"/>
        <v>1600</v>
      </c>
      <c r="Q11" s="58"/>
    </row>
    <row r="12" ht="22.5" hidden="1" customHeight="1">
      <c r="A12" s="53">
        <v>9.0</v>
      </c>
      <c r="B12" s="54" t="s">
        <v>41</v>
      </c>
      <c r="C12" s="55">
        <v>500.0</v>
      </c>
      <c r="D12" s="56">
        <v>500.0</v>
      </c>
      <c r="E12" s="56">
        <v>500.0</v>
      </c>
      <c r="F12" s="56">
        <v>500.0</v>
      </c>
      <c r="G12" s="56">
        <v>500.0</v>
      </c>
      <c r="H12" s="56">
        <v>500.0</v>
      </c>
      <c r="I12" s="56">
        <v>500.0</v>
      </c>
      <c r="J12" s="56">
        <v>0.0</v>
      </c>
      <c r="K12" s="56">
        <v>500.0</v>
      </c>
      <c r="L12" s="56">
        <v>500.0</v>
      </c>
      <c r="M12" s="56">
        <v>0.0</v>
      </c>
      <c r="N12" s="56">
        <v>1000.0</v>
      </c>
      <c r="O12" s="56"/>
      <c r="P12" s="56">
        <f t="shared" si="1"/>
        <v>5000</v>
      </c>
      <c r="Q12" s="58"/>
    </row>
    <row r="13" ht="22.5" hidden="1" customHeight="1">
      <c r="A13" s="53">
        <v>10.0</v>
      </c>
      <c r="B13" s="54" t="s">
        <v>44</v>
      </c>
      <c r="C13" s="55">
        <v>3000.0</v>
      </c>
      <c r="D13" s="56">
        <v>3000.0</v>
      </c>
      <c r="E13" s="56">
        <v>3000.0</v>
      </c>
      <c r="F13" s="56">
        <v>3000.0</v>
      </c>
      <c r="G13" s="56">
        <v>3000.0</v>
      </c>
      <c r="H13" s="56">
        <v>0.0</v>
      </c>
      <c r="I13" s="56">
        <v>0.0</v>
      </c>
      <c r="J13" s="56">
        <v>9000.0</v>
      </c>
      <c r="K13" s="56">
        <v>3000.0</v>
      </c>
      <c r="L13" s="56">
        <v>0.0</v>
      </c>
      <c r="M13" s="56">
        <v>3000.0</v>
      </c>
      <c r="N13" s="56">
        <v>3000.0</v>
      </c>
      <c r="O13" s="56"/>
      <c r="P13" s="56">
        <f t="shared" si="1"/>
        <v>30000</v>
      </c>
      <c r="Q13" s="58"/>
    </row>
    <row r="14" ht="26.25" hidden="1" customHeight="1">
      <c r="A14" s="53">
        <v>11.0</v>
      </c>
      <c r="B14" s="54" t="s">
        <v>48</v>
      </c>
      <c r="C14" s="55">
        <v>700.0</v>
      </c>
      <c r="D14" s="56">
        <v>700.0</v>
      </c>
      <c r="E14" s="56">
        <v>700.0</v>
      </c>
      <c r="F14" s="56">
        <v>700.0</v>
      </c>
      <c r="G14" s="56">
        <v>700.0</v>
      </c>
      <c r="H14" s="56">
        <v>0.0</v>
      </c>
      <c r="I14" s="56">
        <v>0.0</v>
      </c>
      <c r="J14" s="56">
        <v>2100.0</v>
      </c>
      <c r="K14" s="56">
        <v>700.0</v>
      </c>
      <c r="L14" s="56">
        <v>0.0</v>
      </c>
      <c r="M14" s="56">
        <v>0.0</v>
      </c>
      <c r="N14" s="56">
        <v>700.0</v>
      </c>
      <c r="O14" s="56"/>
      <c r="P14" s="56">
        <f t="shared" si="1"/>
        <v>6300</v>
      </c>
      <c r="Q14" s="58"/>
    </row>
    <row r="15" ht="26.25" customHeight="1">
      <c r="A15" s="53">
        <v>12.0</v>
      </c>
      <c r="B15" s="54" t="s">
        <v>51</v>
      </c>
      <c r="C15" s="55">
        <v>2000.0</v>
      </c>
      <c r="D15" s="56">
        <v>12000.0</v>
      </c>
      <c r="E15" s="56">
        <v>0.0</v>
      </c>
      <c r="F15" s="56">
        <v>0.0</v>
      </c>
      <c r="G15" s="56">
        <v>0.0</v>
      </c>
      <c r="H15" s="56">
        <v>0.0</v>
      </c>
      <c r="I15" s="56">
        <v>0.0</v>
      </c>
      <c r="J15" s="56">
        <v>12000.0</v>
      </c>
      <c r="K15" s="56">
        <v>0.0</v>
      </c>
      <c r="L15" s="56">
        <v>0.0</v>
      </c>
      <c r="M15" s="56">
        <v>0.0</v>
      </c>
      <c r="N15" s="56">
        <v>0.0</v>
      </c>
      <c r="O15" s="56"/>
      <c r="P15" s="56">
        <f t="shared" si="1"/>
        <v>24000</v>
      </c>
      <c r="Q15" s="58"/>
    </row>
    <row r="16" ht="26.25" hidden="1" customHeight="1">
      <c r="A16" s="53">
        <v>13.0</v>
      </c>
      <c r="B16" s="54" t="s">
        <v>54</v>
      </c>
      <c r="C16" s="55">
        <v>5000.0</v>
      </c>
      <c r="D16" s="56">
        <v>5000.0</v>
      </c>
      <c r="E16" s="56">
        <v>5000.0</v>
      </c>
      <c r="F16" s="56">
        <v>5000.0</v>
      </c>
      <c r="G16" s="56">
        <v>5000.0</v>
      </c>
      <c r="H16" s="56">
        <v>5000.0</v>
      </c>
      <c r="I16" s="56">
        <v>0.0</v>
      </c>
      <c r="J16" s="56">
        <v>0.0</v>
      </c>
      <c r="K16" s="56">
        <v>5000.0</v>
      </c>
      <c r="L16" s="56">
        <v>5000.0</v>
      </c>
      <c r="M16" s="56">
        <v>5000.0</v>
      </c>
      <c r="N16" s="56">
        <v>0.0</v>
      </c>
      <c r="O16" s="56"/>
      <c r="P16" s="56">
        <f t="shared" si="1"/>
        <v>40000</v>
      </c>
      <c r="Q16" s="58"/>
    </row>
    <row r="17" ht="26.25" hidden="1" customHeight="1">
      <c r="A17" s="53">
        <v>14.0</v>
      </c>
      <c r="B17" s="54" t="s">
        <v>57</v>
      </c>
      <c r="C17" s="55">
        <v>400.0</v>
      </c>
      <c r="D17" s="56">
        <v>400.0</v>
      </c>
      <c r="E17" s="56">
        <v>400.0</v>
      </c>
      <c r="F17" s="56">
        <v>400.0</v>
      </c>
      <c r="G17" s="56">
        <v>400.0</v>
      </c>
      <c r="H17" s="56">
        <v>400.0</v>
      </c>
      <c r="I17" s="56">
        <v>0.0</v>
      </c>
      <c r="J17" s="56">
        <v>800.0</v>
      </c>
      <c r="K17" s="56">
        <v>400.0</v>
      </c>
      <c r="L17" s="56">
        <v>400.0</v>
      </c>
      <c r="M17" s="56">
        <v>400.0</v>
      </c>
      <c r="N17" s="56">
        <v>400.0</v>
      </c>
      <c r="O17" s="56"/>
      <c r="P17" s="56">
        <f t="shared" si="1"/>
        <v>4400</v>
      </c>
      <c r="Q17" s="58"/>
    </row>
    <row r="18" ht="26.25" hidden="1" customHeight="1">
      <c r="A18" s="53">
        <v>15.0</v>
      </c>
      <c r="B18" s="54" t="s">
        <v>61</v>
      </c>
      <c r="C18" s="55">
        <v>1200.0</v>
      </c>
      <c r="D18" s="56">
        <v>1200.0</v>
      </c>
      <c r="E18" s="56">
        <v>1200.0</v>
      </c>
      <c r="F18" s="56">
        <v>1200.0</v>
      </c>
      <c r="G18" s="56">
        <v>1200.0</v>
      </c>
      <c r="H18" s="56">
        <v>1200.0</v>
      </c>
      <c r="I18" s="56">
        <v>1200.0</v>
      </c>
      <c r="J18" s="56">
        <v>1200.0</v>
      </c>
      <c r="K18" s="56">
        <v>1200.0</v>
      </c>
      <c r="L18" s="56">
        <v>1200.0</v>
      </c>
      <c r="M18" s="56">
        <v>1200.0</v>
      </c>
      <c r="N18" s="56">
        <v>1200.0</v>
      </c>
      <c r="O18" s="56"/>
      <c r="P18" s="56">
        <f t="shared" si="1"/>
        <v>13200</v>
      </c>
      <c r="Q18" s="58"/>
    </row>
    <row r="19" ht="26.25" hidden="1" customHeight="1">
      <c r="A19" s="53">
        <v>16.0</v>
      </c>
      <c r="B19" s="54" t="s">
        <v>64</v>
      </c>
      <c r="C19" s="55">
        <v>2500.0</v>
      </c>
      <c r="D19" s="56">
        <v>2500.0</v>
      </c>
      <c r="E19" s="56">
        <v>2500.0</v>
      </c>
      <c r="F19" s="56">
        <v>2500.0</v>
      </c>
      <c r="G19" s="56">
        <v>2500.0</v>
      </c>
      <c r="H19" s="56">
        <v>0.0</v>
      </c>
      <c r="I19" s="56">
        <v>2500.0</v>
      </c>
      <c r="J19" s="56">
        <v>0.0</v>
      </c>
      <c r="K19" s="56">
        <v>0.0</v>
      </c>
      <c r="L19" s="56">
        <v>0.0</v>
      </c>
      <c r="M19" s="56">
        <v>0.0</v>
      </c>
      <c r="N19" s="56">
        <v>2500.0</v>
      </c>
      <c r="O19" s="56"/>
      <c r="P19" s="56">
        <f t="shared" si="1"/>
        <v>15000</v>
      </c>
      <c r="Q19" s="58"/>
    </row>
    <row r="20" ht="26.25" hidden="1" customHeight="1">
      <c r="A20" s="53">
        <v>17.0</v>
      </c>
      <c r="B20" s="54" t="s">
        <v>67</v>
      </c>
      <c r="C20" s="55">
        <v>1000.0</v>
      </c>
      <c r="D20" s="56">
        <v>1000.0</v>
      </c>
      <c r="E20" s="56">
        <v>1000.0</v>
      </c>
      <c r="F20" s="56">
        <v>1000.0</v>
      </c>
      <c r="G20" s="56">
        <v>1000.0</v>
      </c>
      <c r="H20" s="56">
        <v>0.0</v>
      </c>
      <c r="I20" s="56">
        <v>1000.0</v>
      </c>
      <c r="J20" s="56">
        <v>0.0</v>
      </c>
      <c r="K20" s="56">
        <v>1000.0</v>
      </c>
      <c r="L20" s="56">
        <v>0.0</v>
      </c>
      <c r="M20" s="56">
        <v>1000.0</v>
      </c>
      <c r="N20" s="56">
        <v>1000.0</v>
      </c>
      <c r="O20" s="56"/>
      <c r="P20" s="56">
        <f t="shared" si="1"/>
        <v>8000</v>
      </c>
      <c r="Q20" s="58"/>
    </row>
    <row r="21" ht="26.25" hidden="1" customHeight="1">
      <c r="A21" s="53">
        <v>18.0</v>
      </c>
      <c r="B21" s="54" t="s">
        <v>70</v>
      </c>
      <c r="C21" s="55">
        <v>800.0</v>
      </c>
      <c r="D21" s="56">
        <v>800.0</v>
      </c>
      <c r="E21" s="56">
        <v>800.0</v>
      </c>
      <c r="F21" s="56">
        <v>800.0</v>
      </c>
      <c r="G21" s="56">
        <v>800.0</v>
      </c>
      <c r="H21" s="56">
        <v>800.0</v>
      </c>
      <c r="I21" s="56">
        <v>0.0</v>
      </c>
      <c r="J21" s="56">
        <v>0.0</v>
      </c>
      <c r="K21" s="56">
        <v>0.0</v>
      </c>
      <c r="L21" s="56">
        <v>800.0</v>
      </c>
      <c r="M21" s="56">
        <v>800.0</v>
      </c>
      <c r="N21" s="56">
        <v>800.0</v>
      </c>
      <c r="O21" s="56"/>
      <c r="P21" s="56">
        <f t="shared" si="1"/>
        <v>6400</v>
      </c>
      <c r="Q21" s="58"/>
    </row>
    <row r="22" ht="26.25" hidden="1" customHeight="1">
      <c r="A22" s="53">
        <v>19.0</v>
      </c>
      <c r="B22" s="54" t="s">
        <v>73</v>
      </c>
      <c r="C22" s="55">
        <v>3500.0</v>
      </c>
      <c r="D22" s="56">
        <v>3500.0</v>
      </c>
      <c r="E22" s="56">
        <v>3500.0</v>
      </c>
      <c r="F22" s="56">
        <v>3500.0</v>
      </c>
      <c r="G22" s="56">
        <v>3500.0</v>
      </c>
      <c r="H22" s="56">
        <v>3500.0</v>
      </c>
      <c r="I22" s="56">
        <v>0.0</v>
      </c>
      <c r="J22" s="56">
        <v>3500.0</v>
      </c>
      <c r="K22" s="56">
        <v>3500.0</v>
      </c>
      <c r="L22" s="56">
        <v>0.0</v>
      </c>
      <c r="M22" s="56">
        <v>0.0</v>
      </c>
      <c r="N22" s="56">
        <v>3500.0</v>
      </c>
      <c r="O22" s="56"/>
      <c r="P22" s="56">
        <f t="shared" si="1"/>
        <v>28000</v>
      </c>
      <c r="Q22" s="58"/>
    </row>
    <row r="23" ht="26.25" hidden="1" customHeight="1">
      <c r="A23" s="53">
        <v>20.0</v>
      </c>
      <c r="B23" s="54" t="s">
        <v>76</v>
      </c>
      <c r="C23" s="55">
        <v>100.0</v>
      </c>
      <c r="D23" s="56">
        <v>100.0</v>
      </c>
      <c r="E23" s="56">
        <v>100.0</v>
      </c>
      <c r="F23" s="56">
        <v>100.0</v>
      </c>
      <c r="G23" s="56">
        <v>100.0</v>
      </c>
      <c r="H23" s="56">
        <v>0.0</v>
      </c>
      <c r="I23" s="56">
        <v>100.0</v>
      </c>
      <c r="J23" s="56">
        <v>0.0</v>
      </c>
      <c r="K23" s="56">
        <v>100.0</v>
      </c>
      <c r="L23" s="56">
        <v>0.0</v>
      </c>
      <c r="M23" s="56">
        <v>100.0</v>
      </c>
      <c r="N23" s="56">
        <v>100.0</v>
      </c>
      <c r="O23" s="56"/>
      <c r="P23" s="56">
        <f t="shared" si="1"/>
        <v>800</v>
      </c>
      <c r="Q23" s="58"/>
    </row>
    <row r="24" ht="26.25" hidden="1" customHeight="1">
      <c r="A24" s="53">
        <v>21.0</v>
      </c>
      <c r="B24" s="54" t="s">
        <v>79</v>
      </c>
      <c r="C24" s="55">
        <v>1500.0</v>
      </c>
      <c r="D24" s="56">
        <v>1500.0</v>
      </c>
      <c r="E24" s="56">
        <v>1500.0</v>
      </c>
      <c r="F24" s="56">
        <v>1500.0</v>
      </c>
      <c r="G24" s="56">
        <v>1500.0</v>
      </c>
      <c r="H24" s="56">
        <v>1500.0</v>
      </c>
      <c r="I24" s="56">
        <v>1500.0</v>
      </c>
      <c r="J24" s="56">
        <v>1500.0</v>
      </c>
      <c r="K24" s="56">
        <v>1500.0</v>
      </c>
      <c r="L24" s="56">
        <v>0.0</v>
      </c>
      <c r="M24" s="56">
        <v>0.0</v>
      </c>
      <c r="N24" s="56">
        <v>1500.0</v>
      </c>
      <c r="O24" s="56"/>
      <c r="P24" s="56">
        <f t="shared" si="1"/>
        <v>13500</v>
      </c>
      <c r="Q24" s="58"/>
    </row>
    <row r="25" ht="26.25" hidden="1" customHeight="1">
      <c r="A25" s="53">
        <v>22.0</v>
      </c>
      <c r="B25" s="54" t="s">
        <v>82</v>
      </c>
      <c r="C25" s="55">
        <v>2000.0</v>
      </c>
      <c r="D25" s="56">
        <v>2000.0</v>
      </c>
      <c r="E25" s="56">
        <v>2000.0</v>
      </c>
      <c r="F25" s="56">
        <v>2000.0</v>
      </c>
      <c r="G25" s="56">
        <v>2000.0</v>
      </c>
      <c r="H25" s="56">
        <v>0.0</v>
      </c>
      <c r="I25" s="56">
        <v>0.0</v>
      </c>
      <c r="J25" s="56">
        <v>0.0</v>
      </c>
      <c r="K25" s="56">
        <v>2000.0</v>
      </c>
      <c r="L25" s="56">
        <v>0.0</v>
      </c>
      <c r="M25" s="56">
        <v>2000.0</v>
      </c>
      <c r="N25" s="56">
        <v>2000.0</v>
      </c>
      <c r="O25" s="56"/>
      <c r="P25" s="56">
        <f t="shared" si="1"/>
        <v>14000</v>
      </c>
      <c r="Q25" s="58"/>
    </row>
    <row r="26" ht="26.25" hidden="1" customHeight="1">
      <c r="A26" s="53">
        <v>23.0</v>
      </c>
      <c r="B26" s="54" t="s">
        <v>85</v>
      </c>
      <c r="C26" s="55">
        <v>5000.0</v>
      </c>
      <c r="D26" s="56">
        <v>5000.0</v>
      </c>
      <c r="E26" s="56">
        <v>5000.0</v>
      </c>
      <c r="F26" s="56">
        <v>5000.0</v>
      </c>
      <c r="G26" s="56">
        <v>5000.0</v>
      </c>
      <c r="H26" s="56">
        <v>5000.0</v>
      </c>
      <c r="I26" s="56">
        <v>5000.0</v>
      </c>
      <c r="J26" s="56">
        <v>0.0</v>
      </c>
      <c r="K26" s="56">
        <v>0.0</v>
      </c>
      <c r="L26" s="56">
        <v>5000.0</v>
      </c>
      <c r="M26" s="56">
        <v>0.0</v>
      </c>
      <c r="N26" s="56">
        <v>5000.0</v>
      </c>
      <c r="O26" s="56"/>
      <c r="P26" s="56">
        <f t="shared" si="1"/>
        <v>40000</v>
      </c>
      <c r="Q26" s="58"/>
    </row>
    <row r="27" ht="26.25" hidden="1" customHeight="1">
      <c r="A27" s="53">
        <v>24.0</v>
      </c>
      <c r="B27" s="54" t="s">
        <v>88</v>
      </c>
      <c r="C27" s="55">
        <v>600.0</v>
      </c>
      <c r="D27" s="56">
        <v>600.0</v>
      </c>
      <c r="E27" s="56">
        <v>600.0</v>
      </c>
      <c r="F27" s="56">
        <v>600.0</v>
      </c>
      <c r="G27" s="56">
        <v>600.0</v>
      </c>
      <c r="H27" s="56">
        <v>600.0</v>
      </c>
      <c r="I27" s="56">
        <v>0.0</v>
      </c>
      <c r="J27" s="56">
        <v>600.0</v>
      </c>
      <c r="K27" s="56">
        <v>0.0</v>
      </c>
      <c r="L27" s="56">
        <v>0.0</v>
      </c>
      <c r="M27" s="56">
        <v>600.0</v>
      </c>
      <c r="N27" s="56">
        <v>0.0</v>
      </c>
      <c r="O27" s="56"/>
      <c r="P27" s="56">
        <f t="shared" si="1"/>
        <v>4200</v>
      </c>
      <c r="Q27" s="58"/>
    </row>
    <row r="28" ht="26.25" customHeight="1">
      <c r="A28" s="53">
        <v>25.0</v>
      </c>
      <c r="B28" s="54" t="s">
        <v>91</v>
      </c>
      <c r="C28" s="55">
        <v>1000.0</v>
      </c>
      <c r="D28" s="56">
        <v>1000.0</v>
      </c>
      <c r="E28" s="56">
        <v>1000.0</v>
      </c>
      <c r="F28" s="56">
        <v>0.0</v>
      </c>
      <c r="G28" s="56">
        <v>0.0</v>
      </c>
      <c r="H28" s="56">
        <v>1000.0</v>
      </c>
      <c r="I28" s="56">
        <v>0.0</v>
      </c>
      <c r="J28" s="56">
        <v>0.0</v>
      </c>
      <c r="K28" s="56">
        <v>1000.0</v>
      </c>
      <c r="L28" s="56">
        <v>1000.0</v>
      </c>
      <c r="M28" s="56">
        <v>0.0</v>
      </c>
      <c r="N28" s="56">
        <v>1000.0</v>
      </c>
      <c r="O28" s="56"/>
      <c r="P28" s="56">
        <f t="shared" si="1"/>
        <v>6000</v>
      </c>
      <c r="Q28" s="58"/>
    </row>
    <row r="29" ht="26.25" hidden="1" customHeight="1">
      <c r="A29" s="53">
        <v>26.0</v>
      </c>
      <c r="B29" s="54" t="s">
        <v>94</v>
      </c>
      <c r="C29" s="55">
        <v>2200.0</v>
      </c>
      <c r="D29" s="56">
        <v>2200.0</v>
      </c>
      <c r="E29" s="56">
        <v>2200.0</v>
      </c>
      <c r="F29" s="56">
        <v>2200.0</v>
      </c>
      <c r="G29" s="56">
        <v>2200.0</v>
      </c>
      <c r="H29" s="56">
        <v>0.0</v>
      </c>
      <c r="I29" s="56">
        <v>2200.0</v>
      </c>
      <c r="J29" s="56">
        <v>0.0</v>
      </c>
      <c r="K29" s="56">
        <v>2200.0</v>
      </c>
      <c r="L29" s="56">
        <v>0.0</v>
      </c>
      <c r="M29" s="56">
        <v>2200.0</v>
      </c>
      <c r="N29" s="56">
        <v>2200.0</v>
      </c>
      <c r="O29" s="56"/>
      <c r="P29" s="56">
        <f t="shared" si="1"/>
        <v>17600</v>
      </c>
      <c r="Q29" s="58"/>
    </row>
    <row r="30" ht="26.25" customHeight="1">
      <c r="A30" s="53">
        <v>27.0</v>
      </c>
      <c r="B30" s="54" t="s">
        <v>97</v>
      </c>
      <c r="C30" s="55">
        <v>1500.0</v>
      </c>
      <c r="D30" s="56">
        <v>1500.0</v>
      </c>
      <c r="E30" s="56">
        <v>1500.0</v>
      </c>
      <c r="F30" s="56">
        <v>1500.0</v>
      </c>
      <c r="G30" s="56">
        <v>0.0</v>
      </c>
      <c r="H30" s="56">
        <v>0.0</v>
      </c>
      <c r="I30" s="56">
        <v>0.0</v>
      </c>
      <c r="J30" s="56">
        <v>1500.0</v>
      </c>
      <c r="K30" s="56">
        <v>0.0</v>
      </c>
      <c r="L30" s="56">
        <v>1500.0</v>
      </c>
      <c r="M30" s="56">
        <v>1500.0</v>
      </c>
      <c r="N30" s="56">
        <v>1500.0</v>
      </c>
      <c r="O30" s="56"/>
      <c r="P30" s="56">
        <f t="shared" si="1"/>
        <v>10500</v>
      </c>
      <c r="Q30" s="58"/>
    </row>
    <row r="31" ht="26.25" hidden="1" customHeight="1">
      <c r="A31" s="53">
        <v>28.0</v>
      </c>
      <c r="B31" s="54" t="s">
        <v>100</v>
      </c>
      <c r="C31" s="55">
        <v>900.0</v>
      </c>
      <c r="D31" s="56">
        <v>900.0</v>
      </c>
      <c r="E31" s="56">
        <v>900.0</v>
      </c>
      <c r="F31" s="56">
        <v>0.0</v>
      </c>
      <c r="G31" s="56">
        <v>900.0</v>
      </c>
      <c r="H31" s="56">
        <v>900.0</v>
      </c>
      <c r="I31" s="56">
        <v>900.0</v>
      </c>
      <c r="J31" s="56">
        <v>0.0</v>
      </c>
      <c r="K31" s="56">
        <v>0.0</v>
      </c>
      <c r="L31" s="56">
        <v>900.0</v>
      </c>
      <c r="M31" s="56">
        <v>900.0</v>
      </c>
      <c r="N31" s="56">
        <v>900.0</v>
      </c>
      <c r="O31" s="56"/>
      <c r="P31" s="56">
        <f t="shared" si="1"/>
        <v>7200</v>
      </c>
      <c r="Q31" s="58"/>
    </row>
    <row r="32" ht="26.25" customHeight="1">
      <c r="A32" s="53">
        <v>29.0</v>
      </c>
      <c r="B32" s="54" t="s">
        <v>103</v>
      </c>
      <c r="C32" s="55">
        <v>4000.0</v>
      </c>
      <c r="D32" s="56">
        <v>4000.0</v>
      </c>
      <c r="E32" s="56">
        <v>4000.0</v>
      </c>
      <c r="F32" s="56">
        <v>4000.0</v>
      </c>
      <c r="G32" s="56">
        <v>0.0</v>
      </c>
      <c r="H32" s="56">
        <v>4000.0</v>
      </c>
      <c r="I32" s="56">
        <v>0.0</v>
      </c>
      <c r="J32" s="56">
        <v>4000.0</v>
      </c>
      <c r="K32" s="56">
        <v>0.0</v>
      </c>
      <c r="L32" s="56">
        <v>2500.0</v>
      </c>
      <c r="M32" s="56">
        <v>4000.0</v>
      </c>
      <c r="N32" s="56">
        <v>4000.0</v>
      </c>
      <c r="O32" s="56"/>
      <c r="P32" s="56">
        <f t="shared" si="1"/>
        <v>30500</v>
      </c>
      <c r="Q32" s="58"/>
    </row>
    <row r="33" ht="26.25" customHeight="1">
      <c r="A33" s="53">
        <v>30.0</v>
      </c>
      <c r="B33" s="54" t="s">
        <v>106</v>
      </c>
      <c r="C33" s="55">
        <v>1000.0</v>
      </c>
      <c r="D33" s="56">
        <v>1000.0</v>
      </c>
      <c r="E33" s="56">
        <v>0.0</v>
      </c>
      <c r="F33" s="56">
        <v>0.0</v>
      </c>
      <c r="G33" s="56">
        <v>0.0</v>
      </c>
      <c r="H33" s="56">
        <v>0.0</v>
      </c>
      <c r="I33" s="56">
        <v>1000.0</v>
      </c>
      <c r="J33" s="56">
        <v>1000.0</v>
      </c>
      <c r="K33" s="56">
        <v>0.0</v>
      </c>
      <c r="L33" s="56">
        <v>1000.0</v>
      </c>
      <c r="M33" s="56">
        <v>0.0</v>
      </c>
      <c r="N33" s="56">
        <v>1000.0</v>
      </c>
      <c r="O33" s="56"/>
      <c r="P33" s="56">
        <f t="shared" si="1"/>
        <v>5000</v>
      </c>
      <c r="Q33" s="58"/>
    </row>
    <row r="34" ht="26.25" hidden="1" customHeight="1">
      <c r="A34" s="53">
        <v>31.0</v>
      </c>
      <c r="B34" s="54" t="s">
        <v>109</v>
      </c>
      <c r="C34" s="55">
        <v>2500.0</v>
      </c>
      <c r="D34" s="56">
        <v>2500.0</v>
      </c>
      <c r="E34" s="56">
        <v>2500.0</v>
      </c>
      <c r="F34" s="56">
        <v>2500.0</v>
      </c>
      <c r="G34" s="56">
        <v>2500.0</v>
      </c>
      <c r="H34" s="56">
        <v>0.0</v>
      </c>
      <c r="I34" s="56">
        <v>0.0</v>
      </c>
      <c r="L34" s="56">
        <v>2500.0</v>
      </c>
      <c r="M34" s="56">
        <v>2500.0</v>
      </c>
      <c r="N34" s="56">
        <v>2500.0</v>
      </c>
      <c r="O34" s="56"/>
      <c r="P34" s="56">
        <f t="shared" si="1"/>
        <v>17500</v>
      </c>
      <c r="Q34" s="58"/>
    </row>
    <row r="35" ht="26.25" hidden="1" customHeight="1">
      <c r="A35" s="53">
        <v>32.0</v>
      </c>
      <c r="B35" s="54" t="s">
        <v>112</v>
      </c>
      <c r="C35" s="55">
        <v>5000.0</v>
      </c>
      <c r="D35" s="56">
        <v>5000.0</v>
      </c>
      <c r="E35" s="56">
        <v>5000.0</v>
      </c>
      <c r="F35" s="56">
        <v>5000.0</v>
      </c>
      <c r="G35" s="56">
        <v>5000.0</v>
      </c>
      <c r="H35" s="56">
        <v>0.0</v>
      </c>
      <c r="I35" s="56">
        <v>0.0</v>
      </c>
      <c r="J35" s="56">
        <v>0.0</v>
      </c>
      <c r="K35" s="56">
        <v>5000.0</v>
      </c>
      <c r="L35" s="56">
        <v>0.0</v>
      </c>
      <c r="M35" s="56">
        <v>5000.0</v>
      </c>
      <c r="N35" s="56">
        <v>5000.0</v>
      </c>
      <c r="O35" s="56"/>
      <c r="P35" s="56">
        <f t="shared" si="1"/>
        <v>35000</v>
      </c>
      <c r="Q35" s="58"/>
    </row>
    <row r="36" ht="26.25" customHeight="1">
      <c r="A36" s="53">
        <v>33.0</v>
      </c>
      <c r="B36" s="54" t="s">
        <v>115</v>
      </c>
      <c r="C36" s="55">
        <v>500.0</v>
      </c>
      <c r="D36" s="56">
        <v>500.0</v>
      </c>
      <c r="E36" s="56">
        <v>500.0</v>
      </c>
      <c r="F36" s="56">
        <v>500.0</v>
      </c>
      <c r="G36" s="56">
        <v>0.0</v>
      </c>
      <c r="H36" s="56">
        <v>500.0</v>
      </c>
      <c r="I36" s="56">
        <v>500.0</v>
      </c>
      <c r="J36" s="56">
        <v>500.0</v>
      </c>
      <c r="K36" s="56">
        <v>500.0</v>
      </c>
      <c r="L36" s="56">
        <v>0.0</v>
      </c>
      <c r="M36" s="56">
        <v>500.0</v>
      </c>
      <c r="N36" s="56">
        <v>0.0</v>
      </c>
      <c r="O36" s="56"/>
      <c r="P36" s="56">
        <f t="shared" si="1"/>
        <v>4000</v>
      </c>
      <c r="Q36" s="58"/>
    </row>
    <row r="37" ht="26.25" hidden="1" customHeight="1">
      <c r="A37" s="53">
        <v>34.0</v>
      </c>
      <c r="B37" s="54" t="s">
        <v>118</v>
      </c>
      <c r="C37" s="55">
        <v>1200.0</v>
      </c>
      <c r="D37" s="56">
        <v>0.0</v>
      </c>
      <c r="E37" s="56">
        <v>1200.0</v>
      </c>
      <c r="F37" s="56">
        <v>1200.0</v>
      </c>
      <c r="G37" s="56">
        <v>1200.0</v>
      </c>
      <c r="H37" s="56">
        <v>1200.0</v>
      </c>
      <c r="I37" s="56">
        <v>0.0</v>
      </c>
      <c r="J37" s="56">
        <v>1200.0</v>
      </c>
      <c r="K37" s="56">
        <v>0.0</v>
      </c>
      <c r="L37" s="56">
        <v>1200.0</v>
      </c>
      <c r="M37" s="56">
        <v>1200.0</v>
      </c>
      <c r="N37" s="56">
        <v>1200.0</v>
      </c>
      <c r="O37" s="56"/>
      <c r="P37" s="56">
        <f t="shared" si="1"/>
        <v>9600</v>
      </c>
      <c r="Q37" s="58"/>
    </row>
    <row r="38" ht="26.25" hidden="1" customHeight="1">
      <c r="A38" s="53">
        <v>35.0</v>
      </c>
      <c r="B38" s="54" t="s">
        <v>121</v>
      </c>
      <c r="C38" s="55">
        <v>3000.0</v>
      </c>
      <c r="D38" s="56">
        <v>3000.0</v>
      </c>
      <c r="E38" s="56">
        <v>3000.0</v>
      </c>
      <c r="F38" s="56">
        <v>3000.0</v>
      </c>
      <c r="G38" s="56">
        <v>3000.0</v>
      </c>
      <c r="H38" s="56">
        <v>0.0</v>
      </c>
      <c r="I38" s="56">
        <v>3000.0</v>
      </c>
      <c r="J38" s="56">
        <v>3000.0</v>
      </c>
      <c r="K38" s="56">
        <v>3000.0</v>
      </c>
      <c r="L38" s="56">
        <v>3000.0</v>
      </c>
      <c r="M38" s="56">
        <v>3000.0</v>
      </c>
      <c r="N38" s="56">
        <v>3000.0</v>
      </c>
      <c r="O38" s="56"/>
      <c r="P38" s="56">
        <f t="shared" si="1"/>
        <v>30000</v>
      </c>
      <c r="Q38" s="58"/>
    </row>
    <row r="39" ht="26.25" hidden="1" customHeight="1">
      <c r="A39" s="53">
        <v>36.0</v>
      </c>
      <c r="B39" s="54" t="s">
        <v>124</v>
      </c>
      <c r="C39" s="55">
        <v>200.0</v>
      </c>
      <c r="D39" s="56">
        <v>200.0</v>
      </c>
      <c r="E39" s="56">
        <v>200.0</v>
      </c>
      <c r="F39" s="56">
        <v>200.0</v>
      </c>
      <c r="G39" s="56">
        <v>200.0</v>
      </c>
      <c r="H39" s="56">
        <v>200.0</v>
      </c>
      <c r="I39" s="56">
        <v>200.0</v>
      </c>
      <c r="J39" s="56">
        <v>200.0</v>
      </c>
      <c r="K39" s="56">
        <v>0.0</v>
      </c>
      <c r="L39" s="56">
        <v>200.0</v>
      </c>
      <c r="M39" s="56">
        <v>200.0</v>
      </c>
      <c r="N39" s="56">
        <v>200.0</v>
      </c>
      <c r="O39" s="56"/>
      <c r="P39" s="56">
        <f t="shared" si="1"/>
        <v>2000</v>
      </c>
      <c r="Q39" s="58"/>
    </row>
    <row r="40" ht="26.25" hidden="1" customHeight="1">
      <c r="A40" s="53">
        <v>37.0</v>
      </c>
      <c r="B40" s="54" t="s">
        <v>127</v>
      </c>
      <c r="C40" s="55">
        <v>1000.0</v>
      </c>
      <c r="D40" s="56">
        <v>1000.0</v>
      </c>
      <c r="E40" s="56">
        <v>1000.0</v>
      </c>
      <c r="F40" s="56">
        <v>1000.0</v>
      </c>
      <c r="G40" s="56">
        <v>1000.0</v>
      </c>
      <c r="H40" s="56">
        <v>1000.0</v>
      </c>
      <c r="I40" s="56">
        <v>1000.0</v>
      </c>
      <c r="J40" s="56">
        <v>1000.0</v>
      </c>
      <c r="K40" s="56">
        <v>1000.0</v>
      </c>
      <c r="L40" s="56">
        <v>1000.0</v>
      </c>
      <c r="M40" s="56">
        <v>1000.0</v>
      </c>
      <c r="N40" s="56">
        <v>1000.0</v>
      </c>
      <c r="O40" s="56"/>
      <c r="P40" s="56">
        <f t="shared" si="1"/>
        <v>11000</v>
      </c>
      <c r="Q40" s="58"/>
    </row>
    <row r="41" ht="26.25" customHeight="1">
      <c r="A41" s="53">
        <v>38.0</v>
      </c>
      <c r="B41" s="54" t="s">
        <v>130</v>
      </c>
      <c r="C41" s="55">
        <v>2000.0</v>
      </c>
      <c r="D41" s="56">
        <v>0.0</v>
      </c>
      <c r="E41" s="56">
        <v>0.0</v>
      </c>
      <c r="F41" s="56">
        <v>0.0</v>
      </c>
      <c r="G41" s="56">
        <v>0.0</v>
      </c>
      <c r="H41" s="56">
        <v>0.0</v>
      </c>
      <c r="I41" s="56">
        <v>0.0</v>
      </c>
      <c r="J41" s="56">
        <v>12000.0</v>
      </c>
      <c r="K41" s="56">
        <v>0.0</v>
      </c>
      <c r="L41" s="56">
        <v>0.0</v>
      </c>
      <c r="M41" s="56">
        <v>0.0</v>
      </c>
      <c r="N41" s="56">
        <v>0.0</v>
      </c>
      <c r="O41" s="56"/>
      <c r="P41" s="56">
        <f t="shared" si="1"/>
        <v>12000</v>
      </c>
      <c r="Q41" s="58"/>
    </row>
    <row r="42" ht="26.25" hidden="1" customHeight="1">
      <c r="A42" s="53">
        <v>39.0</v>
      </c>
      <c r="B42" s="54" t="s">
        <v>133</v>
      </c>
      <c r="C42" s="55">
        <v>1800.0</v>
      </c>
      <c r="D42" s="56">
        <v>0.0</v>
      </c>
      <c r="E42" s="56">
        <v>1800.0</v>
      </c>
      <c r="F42" s="56">
        <v>1800.0</v>
      </c>
      <c r="G42" s="56">
        <v>1800.0</v>
      </c>
      <c r="H42" s="56">
        <v>1800.0</v>
      </c>
      <c r="I42" s="56">
        <v>1800.0</v>
      </c>
      <c r="J42" s="56">
        <v>1800.0</v>
      </c>
      <c r="K42" s="56">
        <v>1800.0</v>
      </c>
      <c r="L42" s="56">
        <v>1800.0</v>
      </c>
      <c r="M42" s="56">
        <v>1800.0</v>
      </c>
      <c r="N42" s="56">
        <v>1800.0</v>
      </c>
      <c r="O42" s="56"/>
      <c r="P42" s="56">
        <f t="shared" si="1"/>
        <v>18000</v>
      </c>
      <c r="Q42" s="58"/>
    </row>
    <row r="43" ht="26.25" hidden="1" customHeight="1">
      <c r="A43" s="53">
        <v>40.0</v>
      </c>
      <c r="B43" s="54" t="s">
        <v>136</v>
      </c>
      <c r="C43" s="55">
        <v>700.0</v>
      </c>
      <c r="D43" s="56">
        <v>0.0</v>
      </c>
      <c r="E43" s="56">
        <v>700.0</v>
      </c>
      <c r="F43" s="56">
        <v>700.0</v>
      </c>
      <c r="G43" s="56">
        <v>700.0</v>
      </c>
      <c r="H43" s="56">
        <v>700.0</v>
      </c>
      <c r="I43" s="56">
        <v>700.0</v>
      </c>
      <c r="J43" s="56">
        <v>700.0</v>
      </c>
      <c r="K43" s="56">
        <v>700.0</v>
      </c>
      <c r="L43" s="56">
        <v>700.0</v>
      </c>
      <c r="M43" s="56">
        <v>700.0</v>
      </c>
      <c r="N43" s="56">
        <v>700.0</v>
      </c>
      <c r="O43" s="56"/>
      <c r="P43" s="56">
        <f t="shared" si="1"/>
        <v>7000</v>
      </c>
      <c r="Q43" s="58">
        <f>SUM(D43:P43)</f>
        <v>14000</v>
      </c>
    </row>
    <row r="44" ht="26.25" hidden="1" customHeight="1">
      <c r="A44" s="53">
        <v>41.0</v>
      </c>
      <c r="B44" s="54" t="s">
        <v>139</v>
      </c>
      <c r="C44" s="55">
        <v>4500.0</v>
      </c>
      <c r="D44" s="56">
        <v>4500.0</v>
      </c>
      <c r="E44" s="56">
        <v>4500.0</v>
      </c>
      <c r="F44" s="56">
        <v>4500.0</v>
      </c>
      <c r="G44" s="56">
        <v>4500.0</v>
      </c>
      <c r="H44" s="56">
        <v>4500.0</v>
      </c>
      <c r="I44" s="56">
        <v>4500.0</v>
      </c>
      <c r="J44" s="56">
        <v>4500.0</v>
      </c>
      <c r="K44" s="56">
        <v>4500.0</v>
      </c>
      <c r="L44" s="56">
        <v>4500.0</v>
      </c>
      <c r="M44" s="56">
        <v>4500.0</v>
      </c>
      <c r="N44" s="56">
        <v>4500.0</v>
      </c>
      <c r="O44" s="56"/>
      <c r="P44" s="56">
        <f t="shared" si="1"/>
        <v>49500</v>
      </c>
      <c r="Q44" s="58"/>
    </row>
    <row r="45" ht="26.25" hidden="1" customHeight="1">
      <c r="A45" s="53">
        <v>42.0</v>
      </c>
      <c r="B45" s="54" t="s">
        <v>142</v>
      </c>
      <c r="C45" s="55">
        <v>1500.0</v>
      </c>
      <c r="D45" s="56">
        <v>1500.0</v>
      </c>
      <c r="E45" s="56">
        <v>1500.0</v>
      </c>
      <c r="F45" s="56">
        <v>1500.0</v>
      </c>
      <c r="G45" s="56">
        <v>1500.0</v>
      </c>
      <c r="H45" s="56">
        <v>1500.0</v>
      </c>
      <c r="I45" s="56">
        <v>1500.0</v>
      </c>
      <c r="J45" s="56">
        <v>1500.0</v>
      </c>
      <c r="K45" s="56">
        <v>1500.0</v>
      </c>
      <c r="L45" s="56">
        <v>1500.0</v>
      </c>
      <c r="M45" s="56">
        <v>1500.0</v>
      </c>
      <c r="N45" s="56">
        <v>1500.0</v>
      </c>
      <c r="O45" s="56"/>
      <c r="P45" s="56">
        <f t="shared" si="1"/>
        <v>16500</v>
      </c>
      <c r="Q45" s="58"/>
    </row>
    <row r="46" ht="26.25" customHeight="1">
      <c r="A46" s="53">
        <v>43.0</v>
      </c>
      <c r="B46" s="54" t="s">
        <v>145</v>
      </c>
      <c r="C46" s="55">
        <v>2500.0</v>
      </c>
      <c r="D46" s="56">
        <v>2500.0</v>
      </c>
      <c r="E46" s="56">
        <v>2500.0</v>
      </c>
      <c r="F46" s="56">
        <v>2500.0</v>
      </c>
      <c r="G46" s="56">
        <v>0.0</v>
      </c>
      <c r="H46" s="56">
        <v>2500.0</v>
      </c>
      <c r="I46" s="56">
        <v>2500.0</v>
      </c>
      <c r="J46" s="56">
        <v>2500.0</v>
      </c>
      <c r="K46" s="56">
        <v>2500.0</v>
      </c>
      <c r="L46" s="56">
        <v>0.0</v>
      </c>
      <c r="M46" s="56">
        <v>2500.0</v>
      </c>
      <c r="N46" s="56">
        <v>2500.0</v>
      </c>
      <c r="O46" s="56"/>
      <c r="P46" s="56">
        <f t="shared" si="1"/>
        <v>22500</v>
      </c>
      <c r="Q46" s="58"/>
    </row>
    <row r="47" ht="22.5" hidden="1" customHeight="1">
      <c r="A47" s="53">
        <v>44.0</v>
      </c>
      <c r="B47" s="54" t="s">
        <v>148</v>
      </c>
      <c r="C47" s="55">
        <v>5000.0</v>
      </c>
      <c r="D47" s="56">
        <v>5000.0</v>
      </c>
      <c r="E47" s="56">
        <v>5000.0</v>
      </c>
      <c r="F47" s="56">
        <v>5000.0</v>
      </c>
      <c r="G47" s="56">
        <v>5000.0</v>
      </c>
      <c r="H47" s="56">
        <v>5000.0</v>
      </c>
      <c r="I47" s="56">
        <v>0.0</v>
      </c>
      <c r="J47" s="56">
        <v>5000.0</v>
      </c>
      <c r="K47" s="56">
        <v>5000.0</v>
      </c>
      <c r="L47" s="56">
        <v>5000.0</v>
      </c>
      <c r="M47" s="56">
        <v>0.0</v>
      </c>
      <c r="N47" s="56">
        <v>5000.0</v>
      </c>
      <c r="O47" s="56"/>
      <c r="P47" s="56">
        <f t="shared" si="1"/>
        <v>45000</v>
      </c>
      <c r="Q47" s="58"/>
    </row>
    <row r="48" ht="22.5" hidden="1" customHeight="1">
      <c r="A48" s="53">
        <v>45.0</v>
      </c>
      <c r="B48" s="54" t="s">
        <v>151</v>
      </c>
      <c r="C48" s="55">
        <v>300.0</v>
      </c>
      <c r="D48" s="56">
        <v>300.0</v>
      </c>
      <c r="E48" s="56">
        <v>300.0</v>
      </c>
      <c r="F48" s="56">
        <v>300.0</v>
      </c>
      <c r="G48" s="56">
        <v>300.0</v>
      </c>
      <c r="H48" s="56">
        <v>0.0</v>
      </c>
      <c r="I48" s="56">
        <v>300.0</v>
      </c>
      <c r="J48" s="56">
        <v>300.0</v>
      </c>
      <c r="K48" s="56">
        <v>0.0</v>
      </c>
      <c r="L48" s="56">
        <v>300.0</v>
      </c>
      <c r="M48" s="56">
        <v>300.0</v>
      </c>
      <c r="N48" s="56">
        <v>300.0</v>
      </c>
      <c r="O48" s="56"/>
      <c r="P48" s="56">
        <f t="shared" si="1"/>
        <v>2700</v>
      </c>
      <c r="Q48" s="58"/>
    </row>
    <row r="49" ht="22.5" customHeight="1">
      <c r="A49" s="53">
        <v>46.0</v>
      </c>
      <c r="B49" s="54" t="s">
        <v>154</v>
      </c>
      <c r="C49" s="55">
        <v>1000.0</v>
      </c>
      <c r="D49" s="56">
        <v>0.0</v>
      </c>
      <c r="E49" s="56">
        <v>0.0</v>
      </c>
      <c r="F49" s="56">
        <v>0.0</v>
      </c>
      <c r="G49" s="56">
        <v>0.0</v>
      </c>
      <c r="H49" s="56">
        <v>1000.0</v>
      </c>
      <c r="I49" s="56">
        <v>1000.0</v>
      </c>
      <c r="J49" s="56">
        <v>0.0</v>
      </c>
      <c r="K49" s="56">
        <v>0.0</v>
      </c>
      <c r="L49" s="56">
        <v>1000.0</v>
      </c>
      <c r="M49" s="56">
        <v>1000.0</v>
      </c>
      <c r="N49" s="56">
        <v>1000.0</v>
      </c>
      <c r="O49" s="56"/>
      <c r="P49" s="56">
        <f t="shared" si="1"/>
        <v>5000</v>
      </c>
      <c r="Q49" s="58"/>
    </row>
    <row r="50" ht="22.5" customHeight="1">
      <c r="A50" s="53">
        <v>47.0</v>
      </c>
      <c r="B50" s="54" t="s">
        <v>157</v>
      </c>
      <c r="C50" s="55">
        <v>3500.0</v>
      </c>
      <c r="D50" s="56">
        <v>3500.0</v>
      </c>
      <c r="E50" s="56">
        <v>3500.0</v>
      </c>
      <c r="F50" s="56">
        <v>0.0</v>
      </c>
      <c r="G50" s="56">
        <v>0.0</v>
      </c>
      <c r="H50" s="56">
        <v>3500.0</v>
      </c>
      <c r="I50" s="56">
        <v>0.0</v>
      </c>
      <c r="J50" s="56">
        <v>3500.0</v>
      </c>
      <c r="K50" s="56">
        <v>0.0</v>
      </c>
      <c r="L50" s="56">
        <v>0.0</v>
      </c>
      <c r="M50" s="56">
        <v>3500.0</v>
      </c>
      <c r="N50" s="56">
        <v>3500.0</v>
      </c>
      <c r="O50" s="56"/>
      <c r="P50" s="56">
        <f t="shared" si="1"/>
        <v>21000</v>
      </c>
      <c r="Q50" s="58"/>
    </row>
    <row r="51" ht="22.5" hidden="1" customHeight="1">
      <c r="A51" s="53">
        <v>48.0</v>
      </c>
      <c r="B51" s="54" t="s">
        <v>160</v>
      </c>
      <c r="C51" s="55">
        <v>1200.0</v>
      </c>
      <c r="D51" s="56">
        <v>0.0</v>
      </c>
      <c r="E51" s="56">
        <v>0.0</v>
      </c>
      <c r="F51" s="56">
        <v>1200.0</v>
      </c>
      <c r="G51" s="56">
        <v>1200.0</v>
      </c>
      <c r="H51" s="56">
        <v>1200.0</v>
      </c>
      <c r="I51" s="56">
        <v>0.0</v>
      </c>
      <c r="J51" s="56">
        <v>0.0</v>
      </c>
      <c r="K51" s="56">
        <v>1200.0</v>
      </c>
      <c r="L51" s="56">
        <v>1200.0</v>
      </c>
      <c r="M51" s="56">
        <v>1200.0</v>
      </c>
      <c r="N51" s="56">
        <v>0.0</v>
      </c>
      <c r="O51" s="56"/>
      <c r="P51" s="56">
        <f t="shared" si="1"/>
        <v>7200</v>
      </c>
      <c r="Q51" s="58"/>
    </row>
    <row r="52" ht="22.5" customHeight="1">
      <c r="A52" s="53">
        <v>49.0</v>
      </c>
      <c r="B52" s="54" t="s">
        <v>163</v>
      </c>
      <c r="C52" s="55">
        <v>600.0</v>
      </c>
      <c r="D52" s="56">
        <v>600.0</v>
      </c>
      <c r="E52" s="56">
        <v>600.0</v>
      </c>
      <c r="F52" s="56">
        <v>600.0</v>
      </c>
      <c r="G52" s="56">
        <v>0.0</v>
      </c>
      <c r="H52" s="56">
        <v>0.0</v>
      </c>
      <c r="I52" s="56">
        <v>0.0</v>
      </c>
      <c r="J52" s="56">
        <v>600.0</v>
      </c>
      <c r="K52" s="56">
        <v>600.0</v>
      </c>
      <c r="L52" s="56">
        <v>600.0</v>
      </c>
      <c r="M52" s="56">
        <v>600.0</v>
      </c>
      <c r="N52" s="56">
        <v>0.0</v>
      </c>
      <c r="O52" s="56"/>
      <c r="P52" s="56">
        <f t="shared" si="1"/>
        <v>4200</v>
      </c>
      <c r="Q52" s="58"/>
    </row>
    <row r="53" ht="22.5" hidden="1" customHeight="1">
      <c r="A53" s="53">
        <v>50.0</v>
      </c>
      <c r="B53" s="54" t="s">
        <v>166</v>
      </c>
      <c r="C53" s="55">
        <v>2000.0</v>
      </c>
      <c r="D53" s="56">
        <v>0.0</v>
      </c>
      <c r="E53" s="56">
        <v>2000.0</v>
      </c>
      <c r="F53" s="56">
        <v>0.0</v>
      </c>
      <c r="G53" s="56">
        <v>2000.0</v>
      </c>
      <c r="H53" s="56">
        <v>2000.0</v>
      </c>
      <c r="I53" s="56">
        <v>2000.0</v>
      </c>
      <c r="J53" s="56">
        <v>2000.0</v>
      </c>
      <c r="K53" s="56">
        <v>2000.0</v>
      </c>
      <c r="L53" s="56">
        <v>2000.0</v>
      </c>
      <c r="M53" s="56">
        <v>2000.0</v>
      </c>
      <c r="N53" s="56">
        <v>2000.0</v>
      </c>
      <c r="O53" s="56"/>
      <c r="P53" s="56">
        <f t="shared" si="1"/>
        <v>18000</v>
      </c>
      <c r="Q53" s="58"/>
    </row>
    <row r="54" ht="22.5" customHeight="1">
      <c r="A54" s="53">
        <v>51.0</v>
      </c>
      <c r="B54" s="54" t="s">
        <v>169</v>
      </c>
      <c r="C54" s="55">
        <v>1000.0</v>
      </c>
      <c r="D54" s="56">
        <v>1000.0</v>
      </c>
      <c r="E54" s="56">
        <v>1000.0</v>
      </c>
      <c r="F54" s="56">
        <v>1000.0</v>
      </c>
      <c r="G54" s="56">
        <v>0.0</v>
      </c>
      <c r="H54" s="56">
        <v>1000.0</v>
      </c>
      <c r="I54" s="56">
        <v>1000.0</v>
      </c>
      <c r="J54" s="56">
        <v>0.0</v>
      </c>
      <c r="K54" s="59">
        <v>0.0</v>
      </c>
      <c r="L54" s="56">
        <v>0.0</v>
      </c>
      <c r="M54" s="56">
        <v>0.0</v>
      </c>
      <c r="N54" s="56">
        <v>1000.0</v>
      </c>
      <c r="O54" s="56"/>
      <c r="P54" s="56">
        <f t="shared" si="1"/>
        <v>6000</v>
      </c>
      <c r="Q54" s="58"/>
    </row>
    <row r="55" ht="22.5" hidden="1" customHeight="1">
      <c r="A55" s="53">
        <v>52.0</v>
      </c>
      <c r="B55" s="54" t="s">
        <v>172</v>
      </c>
      <c r="C55" s="55">
        <v>2800.0</v>
      </c>
      <c r="D55" s="56">
        <v>0.0</v>
      </c>
      <c r="E55" s="56">
        <v>0.0</v>
      </c>
      <c r="F55" s="56">
        <v>0.0</v>
      </c>
      <c r="G55" s="56">
        <v>2800.0</v>
      </c>
      <c r="H55" s="56">
        <v>0.0</v>
      </c>
      <c r="I55" s="56">
        <v>0.0</v>
      </c>
      <c r="J55" s="56">
        <v>2800.0</v>
      </c>
      <c r="L55" s="56">
        <v>2800.0</v>
      </c>
      <c r="M55" s="56">
        <v>2800.0</v>
      </c>
      <c r="N55" s="56">
        <v>2800.0</v>
      </c>
      <c r="O55" s="56"/>
      <c r="P55" s="56">
        <f t="shared" si="1"/>
        <v>14000</v>
      </c>
      <c r="Q55" s="58"/>
    </row>
    <row r="56" ht="22.5" hidden="1" customHeight="1">
      <c r="A56" s="53">
        <v>53.0</v>
      </c>
      <c r="B56" s="54" t="s">
        <v>175</v>
      </c>
      <c r="C56" s="55">
        <v>400.0</v>
      </c>
      <c r="D56" s="56">
        <v>0.0</v>
      </c>
      <c r="E56" s="56">
        <v>400.0</v>
      </c>
      <c r="F56" s="56">
        <v>400.0</v>
      </c>
      <c r="G56" s="56">
        <v>400.0</v>
      </c>
      <c r="H56" s="56">
        <v>0.0</v>
      </c>
      <c r="I56" s="56">
        <v>400.0</v>
      </c>
      <c r="J56" s="56">
        <v>0.0</v>
      </c>
      <c r="K56" s="56">
        <v>400.0</v>
      </c>
      <c r="L56" s="56">
        <v>400.0</v>
      </c>
      <c r="M56" s="56">
        <v>400.0</v>
      </c>
      <c r="N56" s="56">
        <v>400.0</v>
      </c>
      <c r="O56" s="56"/>
      <c r="P56" s="56">
        <f t="shared" si="1"/>
        <v>3200</v>
      </c>
      <c r="Q56" s="58"/>
    </row>
    <row r="57" ht="22.5" customHeight="1">
      <c r="A57" s="53">
        <v>54.0</v>
      </c>
      <c r="B57" s="54" t="s">
        <v>178</v>
      </c>
      <c r="C57" s="55">
        <v>1500.0</v>
      </c>
      <c r="D57" s="56">
        <v>1500.0</v>
      </c>
      <c r="E57" s="56">
        <v>1500.0</v>
      </c>
      <c r="F57" s="56">
        <v>0.0</v>
      </c>
      <c r="G57" s="56">
        <v>0.0</v>
      </c>
      <c r="H57" s="56">
        <v>0.0</v>
      </c>
      <c r="I57" s="56">
        <v>1500.0</v>
      </c>
      <c r="J57" s="56">
        <v>0.0</v>
      </c>
      <c r="K57" s="56">
        <v>1500.0</v>
      </c>
      <c r="L57" s="56">
        <v>1500.0</v>
      </c>
      <c r="M57" s="56">
        <v>0.0</v>
      </c>
      <c r="N57" s="56">
        <v>1500.0</v>
      </c>
      <c r="O57" s="56"/>
      <c r="P57" s="56">
        <f t="shared" si="1"/>
        <v>9000</v>
      </c>
      <c r="Q57" s="58"/>
    </row>
    <row r="58" ht="22.5" hidden="1" customHeight="1">
      <c r="A58" s="53">
        <v>55.0</v>
      </c>
      <c r="B58" s="54" t="s">
        <v>181</v>
      </c>
      <c r="C58" s="55">
        <v>5000.0</v>
      </c>
      <c r="D58" s="56">
        <v>0.0</v>
      </c>
      <c r="E58" s="56">
        <v>0.0</v>
      </c>
      <c r="F58" s="56">
        <v>0.0</v>
      </c>
      <c r="G58" s="56">
        <v>5000.0</v>
      </c>
      <c r="H58" s="56">
        <v>5000.0</v>
      </c>
      <c r="I58" s="56">
        <v>5000.0</v>
      </c>
      <c r="J58" s="56">
        <v>0.0</v>
      </c>
      <c r="K58" s="56">
        <v>0.0</v>
      </c>
      <c r="L58" s="56">
        <v>5000.0</v>
      </c>
      <c r="M58" s="56">
        <v>5000.0</v>
      </c>
      <c r="N58" s="56">
        <v>0.0</v>
      </c>
      <c r="O58" s="56"/>
      <c r="P58" s="56">
        <f t="shared" si="1"/>
        <v>25000</v>
      </c>
      <c r="Q58" s="58"/>
    </row>
    <row r="59" ht="22.5" customHeight="1">
      <c r="A59" s="53">
        <v>56.0</v>
      </c>
      <c r="B59" s="54" t="s">
        <v>184</v>
      </c>
      <c r="C59" s="55">
        <v>800.0</v>
      </c>
      <c r="D59" s="56">
        <v>800.0</v>
      </c>
      <c r="E59" s="56">
        <v>800.0</v>
      </c>
      <c r="F59" s="56">
        <v>0.0</v>
      </c>
      <c r="G59" s="56">
        <v>0.0</v>
      </c>
      <c r="H59" s="56">
        <v>0.0</v>
      </c>
      <c r="I59" s="56">
        <v>0.0</v>
      </c>
      <c r="J59" s="56">
        <v>800.0</v>
      </c>
      <c r="K59" s="56">
        <v>800.0</v>
      </c>
      <c r="L59" s="56">
        <v>800.0</v>
      </c>
      <c r="M59" s="56">
        <v>800.0</v>
      </c>
      <c r="N59" s="56">
        <v>800.0</v>
      </c>
      <c r="O59" s="56"/>
      <c r="P59" s="56">
        <f t="shared" si="1"/>
        <v>5600</v>
      </c>
      <c r="Q59" s="58"/>
    </row>
    <row r="60" ht="22.5" hidden="1" customHeight="1">
      <c r="A60" s="53">
        <v>57.0</v>
      </c>
      <c r="B60" s="54" t="s">
        <v>187</v>
      </c>
      <c r="C60" s="55">
        <v>2000.0</v>
      </c>
      <c r="D60" s="56">
        <v>0.0</v>
      </c>
      <c r="E60" s="56">
        <v>2000.0</v>
      </c>
      <c r="F60" s="56">
        <v>0.0</v>
      </c>
      <c r="G60" s="56">
        <v>2000.0</v>
      </c>
      <c r="H60" s="56">
        <v>2000.0</v>
      </c>
      <c r="I60" s="56">
        <v>2000.0</v>
      </c>
      <c r="J60" s="56">
        <v>0.0</v>
      </c>
      <c r="K60" s="56">
        <v>0.0</v>
      </c>
      <c r="L60" s="56">
        <v>2000.0</v>
      </c>
      <c r="M60" s="56">
        <v>0.0</v>
      </c>
      <c r="N60" s="56">
        <v>2000.0</v>
      </c>
      <c r="O60" s="56"/>
      <c r="P60" s="56">
        <f t="shared" si="1"/>
        <v>12000</v>
      </c>
      <c r="Q60" s="58"/>
    </row>
    <row r="61" ht="22.5" hidden="1" customHeight="1">
      <c r="A61" s="53">
        <v>58.0</v>
      </c>
      <c r="B61" s="54" t="s">
        <v>190</v>
      </c>
      <c r="C61" s="55">
        <v>3000.0</v>
      </c>
      <c r="D61" s="56">
        <v>3000.0</v>
      </c>
      <c r="E61" s="56">
        <v>3000.0</v>
      </c>
      <c r="F61" s="56">
        <v>0.0</v>
      </c>
      <c r="G61" s="56">
        <v>3000.0</v>
      </c>
      <c r="H61" s="56">
        <v>0.0</v>
      </c>
      <c r="I61" s="56">
        <v>0.0</v>
      </c>
      <c r="J61" s="56">
        <v>0.0</v>
      </c>
      <c r="K61" s="56">
        <v>3000.0</v>
      </c>
      <c r="L61" s="56">
        <v>0.0</v>
      </c>
      <c r="M61" s="56">
        <v>3000.0</v>
      </c>
      <c r="N61" s="56">
        <v>3000.0</v>
      </c>
      <c r="O61" s="56"/>
      <c r="P61" s="56">
        <f t="shared" si="1"/>
        <v>18000</v>
      </c>
      <c r="Q61" s="58"/>
    </row>
    <row r="62" ht="22.5" hidden="1" customHeight="1">
      <c r="A62" s="53">
        <v>59.0</v>
      </c>
      <c r="B62" s="54" t="s">
        <v>193</v>
      </c>
      <c r="C62" s="55">
        <v>1000.0</v>
      </c>
      <c r="D62" s="56">
        <v>0.0</v>
      </c>
      <c r="E62" s="56">
        <v>0.0</v>
      </c>
      <c r="F62" s="56">
        <v>1000.0</v>
      </c>
      <c r="G62" s="56">
        <v>1000.0</v>
      </c>
      <c r="H62" s="56">
        <v>0.0</v>
      </c>
      <c r="I62" s="56">
        <v>0.0</v>
      </c>
      <c r="J62" s="56">
        <v>1000.0</v>
      </c>
      <c r="K62" s="56">
        <v>0.0</v>
      </c>
      <c r="L62" s="56">
        <v>0.0</v>
      </c>
      <c r="M62" s="56">
        <v>1000.0</v>
      </c>
      <c r="N62" s="56">
        <v>1000.0</v>
      </c>
      <c r="O62" s="56"/>
      <c r="P62" s="56">
        <f t="shared" si="1"/>
        <v>5000</v>
      </c>
      <c r="Q62" s="58"/>
    </row>
    <row r="63" ht="22.5" customHeight="1">
      <c r="A63" s="53">
        <v>60.0</v>
      </c>
      <c r="B63" s="54" t="s">
        <v>196</v>
      </c>
      <c r="C63" s="55">
        <v>1500.0</v>
      </c>
      <c r="D63" s="56">
        <v>0.0</v>
      </c>
      <c r="E63" s="56">
        <v>1500.0</v>
      </c>
      <c r="F63" s="56">
        <v>1500.0</v>
      </c>
      <c r="G63" s="56">
        <v>0.0</v>
      </c>
      <c r="H63" s="56">
        <v>1500.0</v>
      </c>
      <c r="I63" s="56">
        <v>1500.0</v>
      </c>
      <c r="J63" s="56">
        <v>1500.0</v>
      </c>
      <c r="K63" s="56">
        <v>0.0</v>
      </c>
      <c r="L63" s="56">
        <v>1500.0</v>
      </c>
      <c r="M63" s="56">
        <v>0.0</v>
      </c>
      <c r="N63" s="56">
        <v>1500.0</v>
      </c>
      <c r="O63" s="56"/>
      <c r="P63" s="56">
        <f t="shared" si="1"/>
        <v>10500</v>
      </c>
      <c r="Q63" s="58"/>
    </row>
    <row r="64" ht="22.5" customHeight="1">
      <c r="A64" s="53">
        <v>61.0</v>
      </c>
      <c r="B64" s="54" t="s">
        <v>199</v>
      </c>
      <c r="C64" s="55">
        <v>2500.0</v>
      </c>
      <c r="D64" s="56">
        <v>2500.0</v>
      </c>
      <c r="E64" s="56">
        <v>2500.0</v>
      </c>
      <c r="F64" s="56">
        <v>2500.0</v>
      </c>
      <c r="G64" s="56">
        <v>0.0</v>
      </c>
      <c r="H64" s="56">
        <v>2500.0</v>
      </c>
      <c r="I64" s="56">
        <v>0.0</v>
      </c>
      <c r="J64" s="56">
        <v>2500.0</v>
      </c>
      <c r="K64" s="56">
        <v>0.0</v>
      </c>
      <c r="L64" s="56">
        <v>0.0</v>
      </c>
      <c r="M64" s="56">
        <v>2500.0</v>
      </c>
      <c r="N64" s="56">
        <v>2500.0</v>
      </c>
      <c r="O64" s="56"/>
      <c r="P64" s="56">
        <f t="shared" si="1"/>
        <v>17500</v>
      </c>
      <c r="Q64" s="58"/>
    </row>
    <row r="65" ht="22.5" hidden="1" customHeight="1">
      <c r="A65" s="53">
        <v>62.0</v>
      </c>
      <c r="B65" s="54" t="s">
        <v>202</v>
      </c>
      <c r="C65" s="55">
        <v>200.0</v>
      </c>
      <c r="D65" s="56">
        <v>0.0</v>
      </c>
      <c r="E65" s="56">
        <v>200.0</v>
      </c>
      <c r="F65" s="56">
        <v>200.0</v>
      </c>
      <c r="G65" s="56">
        <v>200.0</v>
      </c>
      <c r="H65" s="56">
        <v>200.0</v>
      </c>
      <c r="I65" s="56">
        <v>0.0</v>
      </c>
      <c r="J65" s="56">
        <v>200.0</v>
      </c>
      <c r="K65" s="56">
        <v>200.0</v>
      </c>
      <c r="L65" s="56">
        <v>200.0</v>
      </c>
      <c r="M65" s="56">
        <v>0.0</v>
      </c>
      <c r="N65" s="56">
        <v>200.0</v>
      </c>
      <c r="O65" s="56"/>
      <c r="P65" s="56">
        <f t="shared" si="1"/>
        <v>1600</v>
      </c>
      <c r="Q65" s="58"/>
    </row>
    <row r="66" ht="22.5" hidden="1" customHeight="1">
      <c r="A66" s="53">
        <v>63.0</v>
      </c>
      <c r="B66" s="54" t="s">
        <v>205</v>
      </c>
      <c r="C66" s="55">
        <v>1000.0</v>
      </c>
      <c r="D66" s="56">
        <v>1000.0</v>
      </c>
      <c r="E66" s="56">
        <v>1000.0</v>
      </c>
      <c r="F66" s="56">
        <v>1000.0</v>
      </c>
      <c r="G66" s="56">
        <v>1000.0</v>
      </c>
      <c r="H66" s="56">
        <v>1000.0</v>
      </c>
      <c r="I66" s="56">
        <v>0.0</v>
      </c>
      <c r="J66" s="56">
        <v>0.0</v>
      </c>
      <c r="K66" s="56">
        <v>0.0</v>
      </c>
      <c r="L66" s="56">
        <v>0.0</v>
      </c>
      <c r="M66" s="56">
        <v>1000.0</v>
      </c>
      <c r="N66" s="56">
        <v>1000.0</v>
      </c>
      <c r="O66" s="56"/>
      <c r="P66" s="56">
        <f t="shared" si="1"/>
        <v>7000</v>
      </c>
      <c r="Q66" s="58"/>
    </row>
    <row r="67" ht="22.5" hidden="1" customHeight="1">
      <c r="A67" s="53">
        <v>64.0</v>
      </c>
      <c r="B67" s="60" t="s">
        <v>208</v>
      </c>
      <c r="C67" s="55">
        <v>4000.0</v>
      </c>
      <c r="D67" s="56">
        <v>4000.0</v>
      </c>
      <c r="E67" s="56">
        <v>4000.0</v>
      </c>
      <c r="F67" s="56">
        <v>0.0</v>
      </c>
      <c r="G67" s="56">
        <v>4000.0</v>
      </c>
      <c r="H67" s="56">
        <v>0.0</v>
      </c>
      <c r="I67" s="56">
        <v>4000.0</v>
      </c>
      <c r="J67" s="56">
        <v>0.0</v>
      </c>
      <c r="K67" s="56">
        <v>4000.0</v>
      </c>
      <c r="L67" s="56">
        <v>4000.0</v>
      </c>
      <c r="M67" s="56">
        <v>4000.0</v>
      </c>
      <c r="N67" s="56">
        <v>4000.0</v>
      </c>
      <c r="O67" s="56"/>
      <c r="P67" s="56">
        <f t="shared" si="1"/>
        <v>32000</v>
      </c>
      <c r="Q67" s="58"/>
    </row>
    <row r="68" ht="22.5" customHeight="1">
      <c r="A68" s="53">
        <v>65.0</v>
      </c>
      <c r="B68" s="54" t="s">
        <v>211</v>
      </c>
      <c r="C68" s="55">
        <v>500.0</v>
      </c>
      <c r="D68" s="56">
        <v>0.0</v>
      </c>
      <c r="E68" s="56">
        <v>500.0</v>
      </c>
      <c r="F68" s="56">
        <v>500.0</v>
      </c>
      <c r="G68" s="56">
        <v>0.0</v>
      </c>
      <c r="H68" s="56">
        <v>500.0</v>
      </c>
      <c r="I68" s="56">
        <v>500.0</v>
      </c>
      <c r="J68" s="56">
        <v>500.0</v>
      </c>
      <c r="K68" s="56">
        <v>500.0</v>
      </c>
      <c r="L68" s="56">
        <v>500.0</v>
      </c>
      <c r="M68" s="56">
        <v>0.0</v>
      </c>
      <c r="N68" s="56">
        <v>500.0</v>
      </c>
      <c r="O68" s="56"/>
      <c r="P68" s="56">
        <f t="shared" si="1"/>
        <v>4000</v>
      </c>
      <c r="Q68" s="58"/>
    </row>
    <row r="69" ht="22.5" hidden="1" customHeight="1">
      <c r="A69" s="53">
        <v>66.0</v>
      </c>
      <c r="B69" s="54" t="s">
        <v>214</v>
      </c>
      <c r="C69" s="55">
        <v>2000.0</v>
      </c>
      <c r="D69" s="56">
        <v>0.0</v>
      </c>
      <c r="E69" s="56">
        <v>2000.0</v>
      </c>
      <c r="F69" s="56">
        <v>2000.0</v>
      </c>
      <c r="G69" s="56">
        <v>2000.0</v>
      </c>
      <c r="H69" s="56">
        <v>2000.0</v>
      </c>
      <c r="I69" s="56">
        <v>2000.0</v>
      </c>
      <c r="J69" s="56">
        <v>2000.0</v>
      </c>
      <c r="K69" s="56">
        <v>2000.0</v>
      </c>
      <c r="L69" s="56">
        <v>0.0</v>
      </c>
      <c r="M69" s="56">
        <v>0.0</v>
      </c>
      <c r="N69" s="56">
        <v>2000.0</v>
      </c>
      <c r="O69" s="56"/>
      <c r="P69" s="56">
        <f t="shared" si="1"/>
        <v>16000</v>
      </c>
      <c r="Q69" s="58"/>
    </row>
    <row r="70" ht="22.5" hidden="1" customHeight="1">
      <c r="A70" s="53">
        <v>67.0</v>
      </c>
      <c r="B70" s="54" t="s">
        <v>217</v>
      </c>
      <c r="C70" s="55">
        <v>5000.0</v>
      </c>
      <c r="D70" s="56">
        <v>5000.0</v>
      </c>
      <c r="E70" s="56">
        <v>5000.0</v>
      </c>
      <c r="F70" s="56">
        <v>5000.0</v>
      </c>
      <c r="G70" s="56">
        <v>5000.0</v>
      </c>
      <c r="H70" s="56">
        <v>5000.0</v>
      </c>
      <c r="I70" s="56">
        <v>0.0</v>
      </c>
      <c r="J70" s="56">
        <v>0.0</v>
      </c>
      <c r="K70" s="56">
        <v>0.0</v>
      </c>
      <c r="L70" s="56">
        <v>5000.0</v>
      </c>
      <c r="M70" s="56">
        <v>5000.0</v>
      </c>
      <c r="N70" s="56">
        <v>5000.0</v>
      </c>
      <c r="O70" s="56"/>
      <c r="P70" s="56">
        <f t="shared" si="1"/>
        <v>40000</v>
      </c>
      <c r="Q70" s="58"/>
    </row>
    <row r="71" ht="22.5" customHeight="1">
      <c r="A71" s="53">
        <v>68.0</v>
      </c>
      <c r="B71" s="54" t="s">
        <v>220</v>
      </c>
      <c r="C71" s="55">
        <v>1200.0</v>
      </c>
      <c r="D71" s="56">
        <v>1200.0</v>
      </c>
      <c r="E71" s="56">
        <v>1200.0</v>
      </c>
      <c r="F71" s="56">
        <v>0.0</v>
      </c>
      <c r="G71" s="56">
        <v>0.0</v>
      </c>
      <c r="H71" s="56">
        <v>0.0</v>
      </c>
      <c r="I71" s="56">
        <v>0.0</v>
      </c>
      <c r="J71" s="56">
        <v>0.0</v>
      </c>
      <c r="K71" s="56">
        <v>0.0</v>
      </c>
      <c r="L71" s="56">
        <v>0.0</v>
      </c>
      <c r="M71" s="56">
        <v>0.0</v>
      </c>
      <c r="N71" s="56">
        <v>1200.0</v>
      </c>
      <c r="O71" s="56"/>
      <c r="P71" s="56">
        <f t="shared" si="1"/>
        <v>3600</v>
      </c>
      <c r="Q71" s="58"/>
    </row>
    <row r="72" ht="22.5" customHeight="1">
      <c r="A72" s="53">
        <v>69.0</v>
      </c>
      <c r="B72" s="54" t="s">
        <v>223</v>
      </c>
      <c r="C72" s="55">
        <v>700.0</v>
      </c>
      <c r="D72" s="56">
        <v>0.0</v>
      </c>
      <c r="E72" s="56">
        <v>700.0</v>
      </c>
      <c r="F72" s="56">
        <v>700.0</v>
      </c>
      <c r="G72" s="56">
        <v>0.0</v>
      </c>
      <c r="H72" s="56">
        <v>700.0</v>
      </c>
      <c r="I72" s="56">
        <v>0.0</v>
      </c>
      <c r="J72" s="56">
        <v>700.0</v>
      </c>
      <c r="K72" s="56">
        <v>700.0</v>
      </c>
      <c r="L72" s="56">
        <v>700.0</v>
      </c>
      <c r="M72" s="56">
        <v>700.0</v>
      </c>
      <c r="N72" s="56">
        <v>700.0</v>
      </c>
      <c r="O72" s="56"/>
      <c r="P72" s="56">
        <f t="shared" si="1"/>
        <v>5600</v>
      </c>
      <c r="Q72" s="58"/>
    </row>
    <row r="73" ht="22.5" hidden="1" customHeight="1">
      <c r="A73" s="53">
        <v>70.0</v>
      </c>
      <c r="B73" s="54" t="s">
        <v>226</v>
      </c>
      <c r="C73" s="55">
        <v>3000.0</v>
      </c>
      <c r="D73" s="56">
        <v>0.0</v>
      </c>
      <c r="E73" s="56">
        <v>3000.0</v>
      </c>
      <c r="F73" s="56">
        <v>0.0</v>
      </c>
      <c r="G73" s="56">
        <v>3000.0</v>
      </c>
      <c r="H73" s="56">
        <v>0.0</v>
      </c>
      <c r="I73" s="56">
        <v>3000.0</v>
      </c>
      <c r="J73" s="56">
        <v>3000.0</v>
      </c>
      <c r="K73" s="56">
        <v>3000.0</v>
      </c>
      <c r="L73" s="56">
        <v>0.0</v>
      </c>
      <c r="M73" s="56">
        <v>3000.0</v>
      </c>
      <c r="N73" s="56">
        <v>0.0</v>
      </c>
      <c r="O73" s="56"/>
      <c r="P73" s="56">
        <f t="shared" si="1"/>
        <v>18000</v>
      </c>
      <c r="Q73" s="58"/>
    </row>
    <row r="74" ht="22.5" hidden="1" customHeight="1">
      <c r="A74" s="53">
        <v>71.0</v>
      </c>
      <c r="B74" s="54" t="s">
        <v>229</v>
      </c>
      <c r="C74" s="55">
        <v>1500.0</v>
      </c>
      <c r="D74" s="56">
        <v>1500.0</v>
      </c>
      <c r="E74" s="56">
        <v>1500.0</v>
      </c>
      <c r="F74" s="56">
        <v>1500.0</v>
      </c>
      <c r="G74" s="56">
        <v>1500.0</v>
      </c>
      <c r="H74" s="56">
        <v>1500.0</v>
      </c>
      <c r="I74" s="56">
        <v>0.0</v>
      </c>
      <c r="J74" s="56">
        <v>1500.0</v>
      </c>
      <c r="K74" s="56">
        <v>1500.0</v>
      </c>
      <c r="L74" s="56">
        <v>1500.0</v>
      </c>
      <c r="M74" s="56">
        <v>1500.0</v>
      </c>
      <c r="N74" s="56">
        <v>1500.0</v>
      </c>
      <c r="O74" s="56"/>
      <c r="P74" s="56">
        <f t="shared" si="1"/>
        <v>15000</v>
      </c>
      <c r="Q74" s="58"/>
    </row>
    <row r="75" ht="22.5" hidden="1" customHeight="1">
      <c r="A75" s="53">
        <v>72.0</v>
      </c>
      <c r="B75" s="54" t="s">
        <v>232</v>
      </c>
      <c r="C75" s="55">
        <v>2200.0</v>
      </c>
      <c r="D75" s="56">
        <v>0.0</v>
      </c>
      <c r="E75" s="56">
        <v>0.0</v>
      </c>
      <c r="F75" s="56">
        <v>2200.0</v>
      </c>
      <c r="G75" s="56">
        <v>2200.0</v>
      </c>
      <c r="H75" s="56">
        <v>2200.0</v>
      </c>
      <c r="I75" s="56">
        <v>2200.0</v>
      </c>
      <c r="J75" s="56">
        <v>2200.0</v>
      </c>
      <c r="K75" s="56">
        <v>0.0</v>
      </c>
      <c r="L75" s="56">
        <v>2200.0</v>
      </c>
      <c r="M75" s="56">
        <v>0.0</v>
      </c>
      <c r="N75" s="56">
        <v>2200.0</v>
      </c>
      <c r="O75" s="56"/>
      <c r="P75" s="56">
        <f t="shared" si="1"/>
        <v>15400</v>
      </c>
      <c r="Q75" s="58"/>
    </row>
    <row r="76" ht="22.5" customHeight="1">
      <c r="A76" s="53">
        <v>73.0</v>
      </c>
      <c r="B76" s="61" t="s">
        <v>235</v>
      </c>
      <c r="C76" s="55">
        <v>1000.0</v>
      </c>
      <c r="D76" s="56">
        <v>1000.0</v>
      </c>
      <c r="E76" s="56">
        <v>1000.0</v>
      </c>
      <c r="F76" s="56">
        <v>1000.0</v>
      </c>
      <c r="G76" s="56">
        <v>0.0</v>
      </c>
      <c r="H76" s="56">
        <v>1000.0</v>
      </c>
      <c r="I76" s="56">
        <v>1000.0</v>
      </c>
      <c r="J76" s="56">
        <v>1000.0</v>
      </c>
      <c r="K76" s="56">
        <v>0.0</v>
      </c>
      <c r="L76" s="56">
        <v>1000.0</v>
      </c>
      <c r="M76" s="56">
        <v>1000.0</v>
      </c>
      <c r="N76" s="56">
        <v>1000.0</v>
      </c>
      <c r="O76" s="56"/>
      <c r="P76" s="56">
        <f t="shared" si="1"/>
        <v>9000</v>
      </c>
      <c r="Q76" s="58"/>
    </row>
    <row r="77" ht="22.5" hidden="1" customHeight="1">
      <c r="A77" s="53">
        <v>74.0</v>
      </c>
      <c r="B77" s="54" t="s">
        <v>238</v>
      </c>
      <c r="C77" s="55">
        <v>900.0</v>
      </c>
      <c r="D77" s="56">
        <v>900.0</v>
      </c>
      <c r="E77" s="56">
        <v>900.0</v>
      </c>
      <c r="F77" s="56">
        <v>900.0</v>
      </c>
      <c r="G77" s="56">
        <v>900.0</v>
      </c>
      <c r="H77" s="56">
        <v>900.0</v>
      </c>
      <c r="I77" s="56">
        <v>900.0</v>
      </c>
      <c r="J77" s="56">
        <v>900.0</v>
      </c>
      <c r="K77" s="56">
        <v>0.0</v>
      </c>
      <c r="L77" s="56">
        <v>900.0</v>
      </c>
      <c r="M77" s="56">
        <v>900.0</v>
      </c>
      <c r="N77" s="56">
        <v>900.0</v>
      </c>
      <c r="O77" s="56"/>
      <c r="P77" s="56">
        <f t="shared" si="1"/>
        <v>9000</v>
      </c>
      <c r="Q77" s="58"/>
    </row>
    <row r="78" ht="22.5" customHeight="1">
      <c r="A78" s="53">
        <v>75.0</v>
      </c>
      <c r="B78" s="54" t="s">
        <v>241</v>
      </c>
      <c r="C78" s="55">
        <v>4500.0</v>
      </c>
      <c r="D78" s="56">
        <v>4500.0</v>
      </c>
      <c r="E78" s="56">
        <v>4500.0</v>
      </c>
      <c r="F78" s="56">
        <v>4500.0</v>
      </c>
      <c r="G78" s="56">
        <v>0.0</v>
      </c>
      <c r="H78" s="56">
        <v>4500.0</v>
      </c>
      <c r="I78" s="56">
        <v>4500.0</v>
      </c>
      <c r="J78" s="56">
        <v>4500.0</v>
      </c>
      <c r="K78" s="56">
        <v>4500.0</v>
      </c>
      <c r="L78" s="56">
        <v>0.0</v>
      </c>
      <c r="M78" s="56">
        <v>0.0</v>
      </c>
      <c r="N78" s="56">
        <v>4500.0</v>
      </c>
      <c r="O78" s="56"/>
      <c r="P78" s="56">
        <f t="shared" si="1"/>
        <v>36000</v>
      </c>
      <c r="Q78" s="58"/>
    </row>
    <row r="79" ht="22.5" hidden="1" customHeight="1">
      <c r="A79" s="53">
        <v>76.0</v>
      </c>
      <c r="B79" s="54" t="s">
        <v>244</v>
      </c>
      <c r="C79" s="55">
        <v>300.0</v>
      </c>
      <c r="D79" s="56">
        <v>300.0</v>
      </c>
      <c r="E79" s="56">
        <v>300.0</v>
      </c>
      <c r="F79" s="56">
        <v>0.0</v>
      </c>
      <c r="G79" s="56">
        <v>300.0</v>
      </c>
      <c r="H79" s="56">
        <v>0.0</v>
      </c>
      <c r="I79" s="56">
        <v>0.0</v>
      </c>
      <c r="J79" s="56">
        <v>300.0</v>
      </c>
      <c r="K79" s="56">
        <v>300.0</v>
      </c>
      <c r="L79" s="56">
        <v>0.0</v>
      </c>
      <c r="M79" s="56">
        <v>300.0</v>
      </c>
      <c r="N79" s="56">
        <v>0.0</v>
      </c>
      <c r="O79" s="56"/>
      <c r="P79" s="56">
        <f t="shared" si="1"/>
        <v>1800</v>
      </c>
      <c r="Q79" s="58"/>
    </row>
    <row r="80" ht="22.5" hidden="1" customHeight="1">
      <c r="A80" s="53">
        <v>77.0</v>
      </c>
      <c r="B80" s="54" t="s">
        <v>247</v>
      </c>
      <c r="C80" s="55">
        <v>2500.0</v>
      </c>
      <c r="D80" s="56">
        <v>2500.0</v>
      </c>
      <c r="E80" s="56">
        <v>2500.0</v>
      </c>
      <c r="F80" s="56">
        <v>2500.0</v>
      </c>
      <c r="G80" s="56">
        <v>2500.0</v>
      </c>
      <c r="H80" s="56">
        <v>2500.0</v>
      </c>
      <c r="I80" s="56">
        <v>2500.0</v>
      </c>
      <c r="J80" s="56">
        <v>2500.0</v>
      </c>
      <c r="K80" s="56">
        <v>0.0</v>
      </c>
      <c r="L80" s="56">
        <v>2500.0</v>
      </c>
      <c r="M80" s="56">
        <v>2500.0</v>
      </c>
      <c r="N80" s="56">
        <v>2500.0</v>
      </c>
      <c r="O80" s="56"/>
      <c r="P80" s="56">
        <f t="shared" si="1"/>
        <v>25000</v>
      </c>
      <c r="Q80" s="58"/>
    </row>
    <row r="81" ht="22.5" hidden="1" customHeight="1">
      <c r="A81" s="53">
        <v>78.0</v>
      </c>
      <c r="B81" s="54" t="s">
        <v>250</v>
      </c>
      <c r="C81" s="55">
        <v>5000.0</v>
      </c>
      <c r="D81" s="56">
        <v>5000.0</v>
      </c>
      <c r="E81" s="56">
        <v>0.0</v>
      </c>
      <c r="F81" s="56">
        <v>5000.0</v>
      </c>
      <c r="G81" s="56">
        <v>5000.0</v>
      </c>
      <c r="H81" s="56">
        <v>0.0</v>
      </c>
      <c r="I81" s="56">
        <v>5000.0</v>
      </c>
      <c r="J81" s="56">
        <v>0.0</v>
      </c>
      <c r="K81" s="56">
        <v>0.0</v>
      </c>
      <c r="L81" s="56">
        <v>5000.0</v>
      </c>
      <c r="M81" s="56">
        <v>5000.0</v>
      </c>
      <c r="N81" s="56">
        <v>0.0</v>
      </c>
      <c r="O81" s="56"/>
      <c r="P81" s="56">
        <f t="shared" si="1"/>
        <v>30000</v>
      </c>
      <c r="Q81" s="58"/>
    </row>
    <row r="82" ht="22.5" hidden="1" customHeight="1">
      <c r="A82" s="53">
        <v>79.0</v>
      </c>
      <c r="B82" s="54" t="s">
        <v>253</v>
      </c>
      <c r="C82" s="55">
        <v>1000.0</v>
      </c>
      <c r="D82" s="56">
        <v>1000.0</v>
      </c>
      <c r="E82" s="56">
        <v>1000.0</v>
      </c>
      <c r="F82" s="56">
        <v>0.0</v>
      </c>
      <c r="G82" s="56">
        <v>1000.0</v>
      </c>
      <c r="H82" s="56">
        <v>0.0</v>
      </c>
      <c r="I82" s="56">
        <v>1000.0</v>
      </c>
      <c r="J82" s="56">
        <v>0.0</v>
      </c>
      <c r="K82" s="56">
        <v>0.0</v>
      </c>
      <c r="L82" s="56">
        <v>1000.0</v>
      </c>
      <c r="M82" s="56">
        <v>0.0</v>
      </c>
      <c r="N82" s="56">
        <v>1000.0</v>
      </c>
      <c r="O82" s="56"/>
      <c r="P82" s="56">
        <f t="shared" si="1"/>
        <v>6000</v>
      </c>
      <c r="Q82" s="58"/>
    </row>
    <row r="83" ht="22.5" hidden="1" customHeight="1">
      <c r="A83" s="53">
        <v>80.0</v>
      </c>
      <c r="B83" s="54" t="s">
        <v>256</v>
      </c>
      <c r="C83" s="55">
        <v>1800.0</v>
      </c>
      <c r="D83" s="56">
        <v>1800.0</v>
      </c>
      <c r="E83" s="56">
        <v>1800.0</v>
      </c>
      <c r="F83" s="56">
        <v>0.0</v>
      </c>
      <c r="G83" s="56">
        <v>1800.0</v>
      </c>
      <c r="H83" s="56">
        <v>1800.0</v>
      </c>
      <c r="I83" s="56">
        <v>0.0</v>
      </c>
      <c r="J83" s="56">
        <v>1800.0</v>
      </c>
      <c r="K83" s="56">
        <v>1800.0</v>
      </c>
      <c r="L83" s="56">
        <v>1800.0</v>
      </c>
      <c r="M83" s="56">
        <v>1800.0</v>
      </c>
      <c r="N83" s="56">
        <v>1800.0</v>
      </c>
      <c r="O83" s="56"/>
      <c r="P83" s="56">
        <f t="shared" si="1"/>
        <v>16200</v>
      </c>
      <c r="Q83" s="58"/>
    </row>
    <row r="84" ht="22.5" hidden="1" customHeight="1">
      <c r="A84" s="53">
        <v>81.0</v>
      </c>
      <c r="B84" s="54" t="s">
        <v>259</v>
      </c>
      <c r="C84" s="55">
        <v>2000.0</v>
      </c>
      <c r="D84" s="56">
        <v>2000.0</v>
      </c>
      <c r="E84" s="56">
        <v>2000.0</v>
      </c>
      <c r="F84" s="56">
        <v>0.0</v>
      </c>
      <c r="G84" s="56">
        <v>2000.0</v>
      </c>
      <c r="H84" s="56">
        <v>0.0</v>
      </c>
      <c r="I84" s="56">
        <v>0.0</v>
      </c>
      <c r="J84" s="56">
        <v>2000.0</v>
      </c>
      <c r="K84" s="56">
        <v>2000.0</v>
      </c>
      <c r="L84" s="56">
        <v>2000.0</v>
      </c>
      <c r="M84" s="56">
        <v>2000.0</v>
      </c>
      <c r="N84" s="56">
        <v>0.0</v>
      </c>
      <c r="O84" s="56"/>
      <c r="P84" s="56">
        <f t="shared" si="1"/>
        <v>14000</v>
      </c>
      <c r="Q84" s="58"/>
    </row>
    <row r="85" ht="22.5" hidden="1" customHeight="1">
      <c r="A85" s="53">
        <v>82.0</v>
      </c>
      <c r="B85" s="54" t="s">
        <v>262</v>
      </c>
      <c r="C85" s="55">
        <v>600.0</v>
      </c>
      <c r="D85" s="56">
        <v>600.0</v>
      </c>
      <c r="E85" s="56">
        <v>600.0</v>
      </c>
      <c r="F85" s="56">
        <v>600.0</v>
      </c>
      <c r="G85" s="56">
        <v>600.0</v>
      </c>
      <c r="H85" s="56">
        <v>600.0</v>
      </c>
      <c r="I85" s="56">
        <v>600.0</v>
      </c>
      <c r="J85" s="56">
        <v>0.0</v>
      </c>
      <c r="K85" s="56">
        <v>600.0</v>
      </c>
      <c r="L85" s="56">
        <v>600.0</v>
      </c>
      <c r="M85" s="56">
        <v>0.0</v>
      </c>
      <c r="N85" s="56">
        <v>600.0</v>
      </c>
      <c r="O85" s="56"/>
      <c r="P85" s="56">
        <f t="shared" si="1"/>
        <v>5400</v>
      </c>
      <c r="Q85" s="58"/>
    </row>
    <row r="86" ht="22.5" hidden="1" customHeight="1">
      <c r="A86" s="53">
        <v>83.0</v>
      </c>
      <c r="B86" s="54" t="s">
        <v>265</v>
      </c>
      <c r="C86" s="55">
        <v>3500.0</v>
      </c>
      <c r="D86" s="56">
        <v>0.0</v>
      </c>
      <c r="E86" s="56">
        <v>3500.0</v>
      </c>
      <c r="F86" s="56">
        <v>3500.0</v>
      </c>
      <c r="G86" s="56">
        <v>3500.0</v>
      </c>
      <c r="H86" s="56">
        <v>0.0</v>
      </c>
      <c r="I86" s="56">
        <v>0.0</v>
      </c>
      <c r="J86" s="56">
        <v>3500.0</v>
      </c>
      <c r="K86" s="56">
        <v>3500.0</v>
      </c>
      <c r="L86" s="56">
        <v>0.0</v>
      </c>
      <c r="M86" s="56">
        <v>0.0</v>
      </c>
      <c r="N86" s="56">
        <v>0.0</v>
      </c>
      <c r="O86" s="56"/>
      <c r="P86" s="56">
        <f t="shared" si="1"/>
        <v>17500</v>
      </c>
      <c r="Q86" s="58"/>
    </row>
    <row r="87" ht="22.5" hidden="1" customHeight="1">
      <c r="A87" s="53">
        <v>84.0</v>
      </c>
      <c r="B87" s="54" t="s">
        <v>268</v>
      </c>
      <c r="C87" s="55">
        <v>1200.0</v>
      </c>
      <c r="D87" s="56">
        <v>1200.0</v>
      </c>
      <c r="E87" s="56">
        <v>1200.0</v>
      </c>
      <c r="F87" s="56">
        <v>0.0</v>
      </c>
      <c r="G87" s="56">
        <v>1200.0</v>
      </c>
      <c r="H87" s="56">
        <v>1200.0</v>
      </c>
      <c r="I87" s="56">
        <v>1200.0</v>
      </c>
      <c r="J87" s="56">
        <v>1200.0</v>
      </c>
      <c r="K87" s="56">
        <v>0.0</v>
      </c>
      <c r="L87" s="56">
        <v>1200.0</v>
      </c>
      <c r="M87" s="56">
        <v>1200.0</v>
      </c>
      <c r="N87" s="56">
        <v>1200.0</v>
      </c>
      <c r="O87" s="56"/>
      <c r="P87" s="56">
        <f t="shared" si="1"/>
        <v>10800</v>
      </c>
      <c r="Q87" s="58"/>
    </row>
    <row r="88" ht="22.5" hidden="1" customHeight="1">
      <c r="A88" s="53">
        <v>85.0</v>
      </c>
      <c r="B88" s="54" t="s">
        <v>271</v>
      </c>
      <c r="C88" s="55">
        <v>2500.0</v>
      </c>
      <c r="D88" s="56">
        <v>2500.0</v>
      </c>
      <c r="E88" s="56">
        <v>2500.0</v>
      </c>
      <c r="F88" s="56">
        <v>2500.0</v>
      </c>
      <c r="G88" s="56">
        <v>2500.0</v>
      </c>
      <c r="H88" s="56">
        <v>0.0</v>
      </c>
      <c r="I88" s="56">
        <v>2500.0</v>
      </c>
      <c r="J88" s="56">
        <v>2500.0</v>
      </c>
      <c r="K88" s="56">
        <v>0.0</v>
      </c>
      <c r="L88" s="56">
        <v>2500.0</v>
      </c>
      <c r="M88" s="56">
        <v>2500.0</v>
      </c>
      <c r="N88" s="56">
        <v>2500.0</v>
      </c>
      <c r="O88" s="56"/>
      <c r="P88" s="56">
        <f t="shared" si="1"/>
        <v>22500</v>
      </c>
      <c r="Q88" s="58"/>
    </row>
    <row r="89" ht="22.5" customHeight="1">
      <c r="A89" s="53">
        <v>86.0</v>
      </c>
      <c r="B89" s="54" t="s">
        <v>274</v>
      </c>
      <c r="C89" s="55">
        <v>400.0</v>
      </c>
      <c r="D89" s="56">
        <v>400.0</v>
      </c>
      <c r="E89" s="56">
        <v>400.0</v>
      </c>
      <c r="F89" s="56">
        <v>400.0</v>
      </c>
      <c r="G89" s="56">
        <v>0.0</v>
      </c>
      <c r="H89" s="56">
        <v>0.0</v>
      </c>
      <c r="I89" s="56">
        <v>400.0</v>
      </c>
      <c r="J89" s="56">
        <v>400.0</v>
      </c>
      <c r="K89" s="56">
        <v>400.0</v>
      </c>
      <c r="L89" s="56">
        <v>0.0</v>
      </c>
      <c r="M89" s="56">
        <v>400.0</v>
      </c>
      <c r="N89" s="56">
        <v>400.0</v>
      </c>
      <c r="O89" s="56"/>
      <c r="P89" s="56">
        <f t="shared" si="1"/>
        <v>3200</v>
      </c>
      <c r="Q89" s="58"/>
    </row>
    <row r="90" ht="22.5" hidden="1" customHeight="1">
      <c r="A90" s="53">
        <v>87.0</v>
      </c>
      <c r="B90" s="54" t="s">
        <v>277</v>
      </c>
      <c r="C90" s="55">
        <v>1000.0</v>
      </c>
      <c r="D90" s="56">
        <v>0.0</v>
      </c>
      <c r="E90" s="56">
        <v>1000.0</v>
      </c>
      <c r="F90" s="56">
        <v>0.0</v>
      </c>
      <c r="G90" s="56">
        <v>1000.0</v>
      </c>
      <c r="H90" s="56">
        <v>1000.0</v>
      </c>
      <c r="I90" s="56">
        <v>1000.0</v>
      </c>
      <c r="J90" s="56">
        <v>0.0</v>
      </c>
      <c r="K90" s="56">
        <v>1000.0</v>
      </c>
      <c r="L90" s="56">
        <v>0.0</v>
      </c>
      <c r="M90" s="56">
        <v>1000.0</v>
      </c>
      <c r="N90" s="56">
        <v>1000.0</v>
      </c>
      <c r="O90" s="56"/>
      <c r="P90" s="56">
        <f t="shared" si="1"/>
        <v>7000</v>
      </c>
      <c r="Q90" s="58"/>
    </row>
    <row r="91" ht="22.5" hidden="1" customHeight="1">
      <c r="A91" s="53">
        <v>88.0</v>
      </c>
      <c r="B91" s="54" t="s">
        <v>280</v>
      </c>
      <c r="C91" s="55">
        <v>5000.0</v>
      </c>
      <c r="D91" s="56">
        <v>5000.0</v>
      </c>
      <c r="E91" s="56">
        <v>5000.0</v>
      </c>
      <c r="F91" s="56">
        <v>0.0</v>
      </c>
      <c r="G91" s="56">
        <v>5000.0</v>
      </c>
      <c r="H91" s="56">
        <v>5000.0</v>
      </c>
      <c r="I91" s="56">
        <v>0.0</v>
      </c>
      <c r="J91" s="56">
        <v>5000.0</v>
      </c>
      <c r="K91" s="56">
        <v>5000.0</v>
      </c>
      <c r="L91" s="56">
        <v>5000.0</v>
      </c>
      <c r="M91" s="56">
        <v>5000.0</v>
      </c>
      <c r="N91" s="56">
        <v>5000.0</v>
      </c>
      <c r="O91" s="56"/>
      <c r="P91" s="56">
        <f t="shared" si="1"/>
        <v>45000</v>
      </c>
      <c r="Q91" s="58"/>
    </row>
    <row r="92" ht="22.5" hidden="1" customHeight="1">
      <c r="A92" s="53">
        <v>89.0</v>
      </c>
      <c r="B92" s="54" t="s">
        <v>283</v>
      </c>
      <c r="C92" s="55">
        <v>1500.0</v>
      </c>
      <c r="D92" s="56">
        <v>1500.0</v>
      </c>
      <c r="E92" s="56">
        <v>1500.0</v>
      </c>
      <c r="F92" s="56">
        <v>1500.0</v>
      </c>
      <c r="G92" s="56">
        <v>1500.0</v>
      </c>
      <c r="H92" s="56">
        <v>1500.0</v>
      </c>
      <c r="I92" s="56">
        <v>1500.0</v>
      </c>
      <c r="J92" s="56">
        <v>1500.0</v>
      </c>
      <c r="K92" s="56">
        <v>1500.0</v>
      </c>
      <c r="L92" s="56">
        <v>1500.0</v>
      </c>
      <c r="M92" s="56">
        <v>1500.0</v>
      </c>
      <c r="N92" s="56">
        <v>1500.0</v>
      </c>
      <c r="O92" s="56"/>
      <c r="P92" s="56">
        <f t="shared" si="1"/>
        <v>16500</v>
      </c>
      <c r="Q92" s="58"/>
    </row>
    <row r="93" ht="22.5" customHeight="1">
      <c r="A93" s="53">
        <v>90.0</v>
      </c>
      <c r="B93" s="54" t="s">
        <v>286</v>
      </c>
      <c r="C93" s="55">
        <v>2000.0</v>
      </c>
      <c r="D93" s="56">
        <v>0.0</v>
      </c>
      <c r="E93" s="56">
        <v>0.0</v>
      </c>
      <c r="F93" s="56">
        <v>0.0</v>
      </c>
      <c r="G93" s="56">
        <v>0.0</v>
      </c>
      <c r="H93" s="56">
        <v>0.0</v>
      </c>
      <c r="I93" s="56">
        <v>0.0</v>
      </c>
      <c r="J93" s="56">
        <v>0.0</v>
      </c>
      <c r="K93" s="56">
        <v>0.0</v>
      </c>
      <c r="L93" s="56">
        <v>0.0</v>
      </c>
      <c r="M93" s="56">
        <v>0.0</v>
      </c>
      <c r="N93" s="56">
        <v>0.0</v>
      </c>
      <c r="O93" s="56"/>
      <c r="P93" s="56">
        <f t="shared" si="1"/>
        <v>0</v>
      </c>
      <c r="Q93" s="58"/>
    </row>
    <row r="94" ht="22.5" hidden="1" customHeight="1">
      <c r="A94" s="53">
        <v>91.0</v>
      </c>
      <c r="B94" s="54" t="s">
        <v>289</v>
      </c>
      <c r="C94" s="55">
        <v>800.0</v>
      </c>
      <c r="D94" s="56">
        <v>800.0</v>
      </c>
      <c r="E94" s="56">
        <v>800.0</v>
      </c>
      <c r="F94" s="56">
        <v>0.0</v>
      </c>
      <c r="G94" s="56">
        <v>800.0</v>
      </c>
      <c r="H94" s="56">
        <v>800.0</v>
      </c>
      <c r="I94" s="56">
        <v>0.0</v>
      </c>
      <c r="J94" s="56">
        <v>0.0</v>
      </c>
      <c r="K94" s="56">
        <v>800.0</v>
      </c>
      <c r="L94" s="56">
        <v>800.0</v>
      </c>
      <c r="M94" s="56">
        <v>800.0</v>
      </c>
      <c r="N94" s="56">
        <v>800.0</v>
      </c>
      <c r="O94" s="56"/>
      <c r="P94" s="56">
        <f t="shared" si="1"/>
        <v>6400</v>
      </c>
      <c r="Q94" s="58"/>
    </row>
    <row r="95" ht="22.5" hidden="1" customHeight="1">
      <c r="A95" s="53">
        <v>92.0</v>
      </c>
      <c r="B95" s="54" t="s">
        <v>292</v>
      </c>
      <c r="C95" s="55">
        <v>4000.0</v>
      </c>
      <c r="D95" s="56">
        <v>4000.0</v>
      </c>
      <c r="E95" s="56">
        <v>4000.0</v>
      </c>
      <c r="F95" s="56">
        <v>4000.0</v>
      </c>
      <c r="G95" s="56">
        <v>4000.0</v>
      </c>
      <c r="H95" s="56">
        <v>4000.0</v>
      </c>
      <c r="I95" s="56">
        <v>4000.0</v>
      </c>
      <c r="J95" s="56">
        <v>0.0</v>
      </c>
      <c r="K95" s="56">
        <v>4000.0</v>
      </c>
      <c r="L95" s="56">
        <v>4000.0</v>
      </c>
      <c r="M95" s="56">
        <v>4000.0</v>
      </c>
      <c r="N95" s="56">
        <v>4000.0</v>
      </c>
      <c r="O95" s="56"/>
      <c r="P95" s="56">
        <f t="shared" si="1"/>
        <v>40000</v>
      </c>
      <c r="Q95" s="58"/>
    </row>
    <row r="96" ht="22.5" hidden="1" customHeight="1">
      <c r="A96" s="53">
        <v>93.0</v>
      </c>
      <c r="B96" s="54" t="s">
        <v>295</v>
      </c>
      <c r="C96" s="55">
        <v>1000.0</v>
      </c>
      <c r="D96" s="56">
        <v>0.0</v>
      </c>
      <c r="E96" s="56">
        <v>1000.0</v>
      </c>
      <c r="F96" s="56">
        <v>1000.0</v>
      </c>
      <c r="G96" s="56">
        <v>1000.0</v>
      </c>
      <c r="H96" s="56">
        <v>0.0</v>
      </c>
      <c r="I96" s="56">
        <v>1000.0</v>
      </c>
      <c r="J96" s="56">
        <v>1000.0</v>
      </c>
      <c r="K96" s="56">
        <v>1000.0</v>
      </c>
      <c r="L96" s="56">
        <v>1000.0</v>
      </c>
      <c r="M96" s="56">
        <v>1000.0</v>
      </c>
      <c r="N96" s="56">
        <v>1000.0</v>
      </c>
      <c r="O96" s="56"/>
      <c r="P96" s="56">
        <f t="shared" si="1"/>
        <v>9000</v>
      </c>
      <c r="Q96" s="58"/>
    </row>
    <row r="97" ht="22.5" hidden="1" customHeight="1">
      <c r="A97" s="53">
        <v>94.0</v>
      </c>
      <c r="B97" s="54" t="s">
        <v>298</v>
      </c>
      <c r="C97" s="55">
        <v>2200.0</v>
      </c>
      <c r="D97" s="56">
        <v>0.0</v>
      </c>
      <c r="E97" s="56">
        <v>2200.0</v>
      </c>
      <c r="F97" s="56">
        <v>0.0</v>
      </c>
      <c r="G97" s="56">
        <v>2200.0</v>
      </c>
      <c r="H97" s="56">
        <v>2200.0</v>
      </c>
      <c r="I97" s="56">
        <v>2200.0</v>
      </c>
      <c r="J97" s="56">
        <v>0.0</v>
      </c>
      <c r="K97" s="56">
        <v>2200.0</v>
      </c>
      <c r="L97" s="56">
        <v>0.0</v>
      </c>
      <c r="M97" s="56">
        <v>2200.0</v>
      </c>
      <c r="N97" s="56">
        <v>2200.0</v>
      </c>
      <c r="O97" s="56"/>
      <c r="P97" s="56">
        <f t="shared" si="1"/>
        <v>15400</v>
      </c>
      <c r="Q97" s="58"/>
    </row>
    <row r="98" ht="22.5" hidden="1" customHeight="1">
      <c r="A98" s="53">
        <v>95.0</v>
      </c>
      <c r="B98" s="54" t="s">
        <v>301</v>
      </c>
      <c r="C98" s="55">
        <v>500.0</v>
      </c>
      <c r="D98" s="56">
        <v>0.0</v>
      </c>
      <c r="E98" s="56">
        <v>500.0</v>
      </c>
      <c r="F98" s="56">
        <v>500.0</v>
      </c>
      <c r="G98" s="56">
        <v>500.0</v>
      </c>
      <c r="H98" s="56">
        <v>0.0</v>
      </c>
      <c r="I98" s="56">
        <v>500.0</v>
      </c>
      <c r="J98" s="56">
        <v>500.0</v>
      </c>
      <c r="K98" s="56">
        <v>0.0</v>
      </c>
      <c r="L98" s="56">
        <v>500.0</v>
      </c>
      <c r="M98" s="56">
        <v>500.0</v>
      </c>
      <c r="N98" s="56">
        <v>500.0</v>
      </c>
      <c r="O98" s="56"/>
      <c r="P98" s="56">
        <f t="shared" si="1"/>
        <v>4000</v>
      </c>
      <c r="Q98" s="58"/>
    </row>
    <row r="99" ht="22.5" customHeight="1">
      <c r="A99" s="53">
        <v>96.0</v>
      </c>
      <c r="B99" s="54" t="s">
        <v>304</v>
      </c>
      <c r="C99" s="55">
        <v>3000.0</v>
      </c>
      <c r="D99" s="56">
        <v>3000.0</v>
      </c>
      <c r="E99" s="56">
        <v>3000.0</v>
      </c>
      <c r="F99" s="56">
        <v>0.0</v>
      </c>
      <c r="G99" s="56">
        <v>0.0</v>
      </c>
      <c r="H99" s="56">
        <v>3000.0</v>
      </c>
      <c r="I99" s="56">
        <v>3000.0</v>
      </c>
      <c r="J99" s="56">
        <v>0.0</v>
      </c>
      <c r="K99" s="56">
        <v>3000.0</v>
      </c>
      <c r="L99" s="56">
        <v>3000.0</v>
      </c>
      <c r="M99" s="56">
        <v>0.0</v>
      </c>
      <c r="N99" s="56">
        <v>3000.0</v>
      </c>
      <c r="O99" s="56"/>
      <c r="P99" s="56">
        <f t="shared" si="1"/>
        <v>21000</v>
      </c>
      <c r="Q99" s="58"/>
    </row>
    <row r="100" ht="22.5" customHeight="1">
      <c r="A100" s="53">
        <v>97.0</v>
      </c>
      <c r="B100" s="54" t="s">
        <v>307</v>
      </c>
      <c r="C100" s="55">
        <v>1200.0</v>
      </c>
      <c r="D100" s="56">
        <v>1200.0</v>
      </c>
      <c r="E100" s="56">
        <v>1200.0</v>
      </c>
      <c r="F100" s="56">
        <v>1200.0</v>
      </c>
      <c r="G100" s="56">
        <v>0.0</v>
      </c>
      <c r="H100" s="56">
        <v>0.0</v>
      </c>
      <c r="I100" s="56">
        <v>1200.0</v>
      </c>
      <c r="J100" s="56">
        <v>0.0</v>
      </c>
      <c r="K100" s="56">
        <v>1200.0</v>
      </c>
      <c r="L100" s="56">
        <v>1200.0</v>
      </c>
      <c r="M100" s="56">
        <v>1200.0</v>
      </c>
      <c r="N100" s="56">
        <v>1200.0</v>
      </c>
      <c r="O100" s="56"/>
      <c r="P100" s="56">
        <f t="shared" si="1"/>
        <v>9600</v>
      </c>
      <c r="Q100" s="58"/>
    </row>
    <row r="101" ht="22.5" hidden="1" customHeight="1">
      <c r="A101" s="53">
        <v>98.0</v>
      </c>
      <c r="B101" s="54" t="s">
        <v>310</v>
      </c>
      <c r="C101" s="55">
        <v>2500.0</v>
      </c>
      <c r="D101" s="56">
        <v>2500.0</v>
      </c>
      <c r="E101" s="56">
        <v>2500.0</v>
      </c>
      <c r="F101" s="56">
        <v>2500.0</v>
      </c>
      <c r="G101" s="56">
        <v>2500.0</v>
      </c>
      <c r="H101" s="56">
        <v>2500.0</v>
      </c>
      <c r="I101" s="56">
        <v>2500.0</v>
      </c>
      <c r="J101" s="56">
        <v>0.0</v>
      </c>
      <c r="K101" s="56">
        <v>2500.0</v>
      </c>
      <c r="L101" s="56">
        <v>2500.0</v>
      </c>
      <c r="M101" s="56">
        <v>0.0</v>
      </c>
      <c r="N101" s="56">
        <v>2500.0</v>
      </c>
      <c r="O101" s="56"/>
      <c r="P101" s="56">
        <f t="shared" si="1"/>
        <v>22500</v>
      </c>
      <c r="Q101" s="58"/>
    </row>
    <row r="102" ht="22.5" customHeight="1">
      <c r="A102" s="53">
        <v>99.0</v>
      </c>
      <c r="B102" s="54" t="s">
        <v>313</v>
      </c>
      <c r="C102" s="55">
        <v>5000.0</v>
      </c>
      <c r="D102" s="56">
        <v>0.0</v>
      </c>
      <c r="E102" s="56">
        <v>5000.0</v>
      </c>
      <c r="F102" s="56">
        <v>5000.0</v>
      </c>
      <c r="G102" s="56">
        <v>0.0</v>
      </c>
      <c r="H102" s="56">
        <v>5000.0</v>
      </c>
      <c r="I102" s="56">
        <v>0.0</v>
      </c>
      <c r="J102" s="56">
        <v>5000.0</v>
      </c>
      <c r="K102" s="56">
        <v>5000.0</v>
      </c>
      <c r="L102" s="56">
        <v>0.0</v>
      </c>
      <c r="M102" s="56">
        <v>5000.0</v>
      </c>
      <c r="N102" s="56">
        <v>5000.0</v>
      </c>
      <c r="O102" s="56"/>
      <c r="P102" s="56">
        <f t="shared" si="1"/>
        <v>35000</v>
      </c>
      <c r="Q102" s="58"/>
    </row>
    <row r="103" ht="22.5" hidden="1" customHeight="1">
      <c r="A103" s="53">
        <v>100.0</v>
      </c>
      <c r="B103" s="54" t="s">
        <v>316</v>
      </c>
      <c r="C103" s="55">
        <v>700.0</v>
      </c>
      <c r="D103" s="56">
        <v>700.0</v>
      </c>
      <c r="E103" s="56">
        <v>700.0</v>
      </c>
      <c r="F103" s="56">
        <v>700.0</v>
      </c>
      <c r="G103" s="56">
        <v>700.0</v>
      </c>
      <c r="H103" s="56">
        <v>0.0</v>
      </c>
      <c r="I103" s="56">
        <v>700.0</v>
      </c>
      <c r="J103" s="56">
        <v>0.0</v>
      </c>
      <c r="K103" s="56">
        <v>0.0</v>
      </c>
      <c r="L103" s="56">
        <v>700.0</v>
      </c>
      <c r="M103" s="56">
        <v>700.0</v>
      </c>
      <c r="N103" s="56">
        <v>700.0</v>
      </c>
      <c r="O103" s="56"/>
      <c r="P103" s="56">
        <f t="shared" si="1"/>
        <v>5600</v>
      </c>
      <c r="Q103" s="58"/>
    </row>
    <row r="104" ht="22.5" customHeight="1">
      <c r="A104" s="53">
        <v>101.0</v>
      </c>
      <c r="B104" s="54" t="s">
        <v>319</v>
      </c>
      <c r="C104" s="55">
        <v>1000.0</v>
      </c>
      <c r="D104" s="56">
        <v>0.0</v>
      </c>
      <c r="E104" s="56">
        <v>1000.0</v>
      </c>
      <c r="F104" s="56">
        <v>0.0</v>
      </c>
      <c r="G104" s="56">
        <v>0.0</v>
      </c>
      <c r="H104" s="56">
        <v>1000.0</v>
      </c>
      <c r="I104" s="56">
        <v>0.0</v>
      </c>
      <c r="J104" s="56">
        <v>0.0</v>
      </c>
      <c r="K104" s="56">
        <v>1000.0</v>
      </c>
      <c r="L104" s="56">
        <v>0.0</v>
      </c>
      <c r="M104" s="56">
        <v>1000.0</v>
      </c>
      <c r="N104" s="56">
        <v>1000.0</v>
      </c>
      <c r="O104" s="56"/>
      <c r="P104" s="56">
        <f t="shared" si="1"/>
        <v>5000</v>
      </c>
      <c r="Q104" s="58"/>
    </row>
    <row r="105" ht="22.5" hidden="1" customHeight="1">
      <c r="A105" s="53">
        <v>102.0</v>
      </c>
      <c r="B105" s="54" t="s">
        <v>322</v>
      </c>
      <c r="C105" s="55">
        <v>2000.0</v>
      </c>
      <c r="D105" s="56">
        <v>2000.0</v>
      </c>
      <c r="E105" s="56">
        <v>2000.0</v>
      </c>
      <c r="F105" s="56">
        <v>2000.0</v>
      </c>
      <c r="G105" s="56">
        <v>2000.0</v>
      </c>
      <c r="H105" s="56">
        <v>0.0</v>
      </c>
      <c r="I105" s="56">
        <v>0.0</v>
      </c>
      <c r="J105" s="56">
        <v>2000.0</v>
      </c>
      <c r="K105" s="56">
        <v>0.0</v>
      </c>
      <c r="L105" s="56">
        <v>0.0</v>
      </c>
      <c r="M105" s="56">
        <v>2000.0</v>
      </c>
      <c r="N105" s="56">
        <v>2000.0</v>
      </c>
      <c r="O105" s="56"/>
      <c r="P105" s="56">
        <f t="shared" si="1"/>
        <v>14000</v>
      </c>
      <c r="Q105" s="58"/>
    </row>
    <row r="106" ht="22.5" customHeight="1">
      <c r="A106" s="53">
        <v>103.0</v>
      </c>
      <c r="B106" s="54" t="s">
        <v>325</v>
      </c>
      <c r="C106" s="55">
        <v>1500.0</v>
      </c>
      <c r="D106" s="56">
        <v>1500.0</v>
      </c>
      <c r="E106" s="56">
        <v>1500.0</v>
      </c>
      <c r="F106" s="56">
        <v>1500.0</v>
      </c>
      <c r="G106" s="56">
        <v>0.0</v>
      </c>
      <c r="H106" s="56">
        <v>1500.0</v>
      </c>
      <c r="I106" s="56">
        <v>0.0</v>
      </c>
      <c r="J106" s="56">
        <v>1500.0</v>
      </c>
      <c r="K106" s="56">
        <v>0.0</v>
      </c>
      <c r="L106" s="56">
        <v>1500.0</v>
      </c>
      <c r="M106" s="56">
        <v>0.0</v>
      </c>
      <c r="N106" s="56">
        <v>0.0</v>
      </c>
      <c r="O106" s="56"/>
      <c r="P106" s="56">
        <f t="shared" si="1"/>
        <v>9000</v>
      </c>
      <c r="Q106" s="58"/>
    </row>
    <row r="107" ht="22.5" hidden="1" customHeight="1">
      <c r="A107" s="53">
        <v>104.0</v>
      </c>
      <c r="B107" s="54" t="s">
        <v>328</v>
      </c>
      <c r="C107" s="55">
        <v>900.0</v>
      </c>
      <c r="D107" s="56">
        <v>0.0</v>
      </c>
      <c r="E107" s="56">
        <v>900.0</v>
      </c>
      <c r="F107" s="56">
        <v>0.0</v>
      </c>
      <c r="G107" s="56">
        <v>900.0</v>
      </c>
      <c r="H107" s="56">
        <v>900.0</v>
      </c>
      <c r="I107" s="56">
        <v>900.0</v>
      </c>
      <c r="J107" s="56">
        <v>900.0</v>
      </c>
      <c r="K107" s="56">
        <v>0.0</v>
      </c>
      <c r="L107" s="56">
        <v>900.0</v>
      </c>
      <c r="M107" s="56">
        <v>0.0</v>
      </c>
      <c r="N107" s="56">
        <v>900.0</v>
      </c>
      <c r="O107" s="56"/>
      <c r="P107" s="56">
        <f t="shared" si="1"/>
        <v>6300</v>
      </c>
      <c r="Q107" s="58"/>
    </row>
    <row r="108" ht="22.5" customHeight="1">
      <c r="A108" s="53">
        <v>105.0</v>
      </c>
      <c r="B108" s="54" t="s">
        <v>331</v>
      </c>
      <c r="C108" s="55">
        <v>3500.0</v>
      </c>
      <c r="D108" s="56">
        <v>3500.0</v>
      </c>
      <c r="E108" s="56">
        <v>3500.0</v>
      </c>
      <c r="F108" s="56">
        <v>3500.0</v>
      </c>
      <c r="G108" s="59">
        <v>0.0</v>
      </c>
      <c r="H108" s="56">
        <v>3500.0</v>
      </c>
      <c r="I108" s="56">
        <v>0.0</v>
      </c>
      <c r="J108" s="56">
        <v>3500.0</v>
      </c>
      <c r="K108" s="56">
        <v>3500.0</v>
      </c>
      <c r="L108" s="56">
        <v>3500.0</v>
      </c>
      <c r="M108" s="56">
        <v>0.0</v>
      </c>
      <c r="N108" s="56">
        <v>0.0</v>
      </c>
      <c r="O108" s="56"/>
      <c r="P108" s="56">
        <f t="shared" si="1"/>
        <v>24500</v>
      </c>
      <c r="Q108" s="58"/>
    </row>
    <row r="109" ht="22.5" hidden="1" customHeight="1">
      <c r="A109" s="53">
        <v>106.0</v>
      </c>
      <c r="B109" s="54" t="s">
        <v>334</v>
      </c>
      <c r="C109" s="55">
        <v>200.0</v>
      </c>
      <c r="D109" s="56">
        <v>200.0</v>
      </c>
      <c r="E109" s="56">
        <v>200.0</v>
      </c>
      <c r="F109" s="56">
        <v>0.0</v>
      </c>
      <c r="H109" s="56">
        <v>200.0</v>
      </c>
      <c r="I109" s="56">
        <v>200.0</v>
      </c>
      <c r="J109" s="56">
        <v>200.0</v>
      </c>
      <c r="K109" s="56">
        <v>0.0</v>
      </c>
      <c r="L109" s="56">
        <v>200.0</v>
      </c>
      <c r="M109" s="56">
        <v>200.0</v>
      </c>
      <c r="N109" s="56">
        <v>200.0</v>
      </c>
      <c r="O109" s="56"/>
      <c r="P109" s="56">
        <f t="shared" si="1"/>
        <v>1600</v>
      </c>
      <c r="Q109" s="58"/>
    </row>
    <row r="110" ht="22.5" customHeight="1">
      <c r="A110" s="53">
        <v>107.0</v>
      </c>
      <c r="B110" s="54" t="s">
        <v>337</v>
      </c>
      <c r="C110" s="55">
        <v>2500.0</v>
      </c>
      <c r="D110" s="56">
        <v>2500.0</v>
      </c>
      <c r="E110" s="56">
        <v>2500.0</v>
      </c>
      <c r="F110" s="56">
        <v>0.0</v>
      </c>
      <c r="G110" s="56">
        <v>0.0</v>
      </c>
      <c r="H110" s="56">
        <v>2500.0</v>
      </c>
      <c r="I110" s="56">
        <v>0.0</v>
      </c>
      <c r="J110" s="56">
        <v>0.0</v>
      </c>
      <c r="K110" s="56">
        <v>2500.0</v>
      </c>
      <c r="L110" s="56">
        <v>0.0</v>
      </c>
      <c r="M110" s="56">
        <v>2500.0</v>
      </c>
      <c r="N110" s="56">
        <v>2500.0</v>
      </c>
      <c r="O110" s="56"/>
      <c r="P110" s="56">
        <f t="shared" si="1"/>
        <v>15000</v>
      </c>
      <c r="Q110" s="58"/>
    </row>
    <row r="111" ht="22.5" customHeight="1">
      <c r="A111" s="53">
        <v>108.0</v>
      </c>
      <c r="B111" s="54" t="s">
        <v>340</v>
      </c>
      <c r="C111" s="62">
        <v>1000.0</v>
      </c>
      <c r="D111" s="56">
        <v>0.0</v>
      </c>
      <c r="E111" s="56">
        <v>1000.0</v>
      </c>
      <c r="F111" s="56">
        <v>1000.0</v>
      </c>
      <c r="G111" s="56">
        <v>0.0</v>
      </c>
      <c r="H111" s="56">
        <v>1000.0</v>
      </c>
      <c r="I111" s="56">
        <v>0.0</v>
      </c>
      <c r="J111" s="56">
        <v>1000.0</v>
      </c>
      <c r="K111" s="56">
        <v>1000.0</v>
      </c>
      <c r="L111" s="56">
        <v>0.0</v>
      </c>
      <c r="M111" s="56">
        <v>0.0</v>
      </c>
      <c r="N111" s="56">
        <v>0.0</v>
      </c>
      <c r="O111" s="56"/>
      <c r="P111" s="56">
        <f t="shared" si="1"/>
        <v>5000</v>
      </c>
      <c r="Q111" s="58"/>
    </row>
    <row r="112" ht="22.5" hidden="1" customHeight="1">
      <c r="A112" s="53">
        <v>109.0</v>
      </c>
      <c r="B112" s="54" t="s">
        <v>343</v>
      </c>
      <c r="C112" s="62">
        <v>4000.0</v>
      </c>
      <c r="D112" s="56">
        <v>0.0</v>
      </c>
      <c r="E112" s="56">
        <v>4000.0</v>
      </c>
      <c r="G112" s="56">
        <v>2500.0</v>
      </c>
      <c r="H112" s="56">
        <v>4000.0</v>
      </c>
      <c r="I112" s="56">
        <v>4000.0</v>
      </c>
      <c r="J112" s="56">
        <v>4000.0</v>
      </c>
      <c r="K112" s="56">
        <v>0.0</v>
      </c>
      <c r="L112" s="56">
        <v>0.0</v>
      </c>
      <c r="M112" s="56">
        <v>4000.0</v>
      </c>
      <c r="N112" s="56">
        <v>0.0</v>
      </c>
      <c r="O112" s="56"/>
      <c r="P112" s="56">
        <f t="shared" si="1"/>
        <v>22500</v>
      </c>
      <c r="Q112" s="58"/>
    </row>
    <row r="113" ht="22.5" customHeight="1">
      <c r="A113" s="53">
        <v>110.0</v>
      </c>
      <c r="B113" s="54" t="s">
        <v>346</v>
      </c>
      <c r="C113" s="55">
        <v>1200.0</v>
      </c>
      <c r="D113" s="56">
        <v>1200.0</v>
      </c>
      <c r="E113" s="56">
        <v>1200.0</v>
      </c>
      <c r="F113" s="56">
        <v>0.0</v>
      </c>
      <c r="G113" s="56">
        <v>0.0</v>
      </c>
      <c r="H113" s="56">
        <v>0.0</v>
      </c>
      <c r="I113" s="56">
        <v>0.0</v>
      </c>
      <c r="J113" s="56">
        <v>0.0</v>
      </c>
      <c r="K113" s="56">
        <v>1200.0</v>
      </c>
      <c r="L113" s="56">
        <v>0.0</v>
      </c>
      <c r="M113" s="56">
        <v>0.0</v>
      </c>
      <c r="N113" s="56">
        <v>0.0</v>
      </c>
      <c r="O113" s="56"/>
      <c r="P113" s="56">
        <f t="shared" si="1"/>
        <v>3600</v>
      </c>
      <c r="Q113" s="58"/>
    </row>
    <row r="114" ht="22.5" hidden="1" customHeight="1">
      <c r="A114" s="53">
        <v>111.0</v>
      </c>
      <c r="B114" s="54" t="s">
        <v>349</v>
      </c>
      <c r="C114" s="55">
        <v>2000.0</v>
      </c>
      <c r="D114" s="56">
        <v>0.0</v>
      </c>
      <c r="E114" s="56">
        <v>2000.0</v>
      </c>
      <c r="F114" s="56">
        <v>0.0</v>
      </c>
      <c r="G114" s="56">
        <v>2000.0</v>
      </c>
      <c r="H114" s="56">
        <v>2000.0</v>
      </c>
      <c r="I114" s="56">
        <v>0.0</v>
      </c>
      <c r="J114" s="56">
        <v>0.0</v>
      </c>
      <c r="K114" s="56">
        <v>2000.0</v>
      </c>
      <c r="L114" s="56">
        <v>2000.0</v>
      </c>
      <c r="M114" s="56">
        <v>2000.0</v>
      </c>
      <c r="N114" s="56">
        <v>0.0</v>
      </c>
      <c r="O114" s="56"/>
      <c r="P114" s="56">
        <f t="shared" si="1"/>
        <v>12000</v>
      </c>
      <c r="Q114" s="58"/>
    </row>
    <row r="115" ht="22.5" customHeight="1">
      <c r="A115" s="53">
        <v>112.0</v>
      </c>
      <c r="B115" s="54" t="s">
        <v>352</v>
      </c>
      <c r="C115" s="55">
        <v>5000.0</v>
      </c>
      <c r="D115" s="56">
        <v>0.0</v>
      </c>
      <c r="E115" s="56">
        <v>5000.0</v>
      </c>
      <c r="F115" s="56">
        <v>5000.0</v>
      </c>
      <c r="G115" s="56">
        <v>0.0</v>
      </c>
      <c r="H115" s="56">
        <v>5000.0</v>
      </c>
      <c r="I115" s="56">
        <v>5000.0</v>
      </c>
      <c r="J115" s="56">
        <v>5000.0</v>
      </c>
      <c r="K115" s="56">
        <v>5000.0</v>
      </c>
      <c r="L115" s="56">
        <v>5000.0</v>
      </c>
      <c r="M115" s="56">
        <v>5000.0</v>
      </c>
      <c r="N115" s="56">
        <v>0.0</v>
      </c>
      <c r="O115" s="56"/>
      <c r="P115" s="56">
        <f t="shared" si="1"/>
        <v>40000</v>
      </c>
      <c r="Q115" s="58"/>
    </row>
    <row r="116" ht="22.5" hidden="1" customHeight="1">
      <c r="A116" s="53">
        <v>113.0</v>
      </c>
      <c r="B116" s="54" t="s">
        <v>355</v>
      </c>
      <c r="C116" s="62">
        <v>600.0</v>
      </c>
      <c r="D116" s="56">
        <v>0.0</v>
      </c>
      <c r="E116" s="56">
        <v>600.0</v>
      </c>
      <c r="F116" s="56">
        <v>600.0</v>
      </c>
      <c r="G116" s="56">
        <v>600.0</v>
      </c>
      <c r="H116" s="56">
        <v>600.0</v>
      </c>
      <c r="I116" s="56">
        <v>600.0</v>
      </c>
      <c r="J116" s="56">
        <v>600.0</v>
      </c>
      <c r="K116" s="56">
        <v>0.0</v>
      </c>
      <c r="L116" s="56">
        <v>600.0</v>
      </c>
      <c r="M116" s="56">
        <v>0.0</v>
      </c>
      <c r="N116" s="56">
        <v>600.0</v>
      </c>
      <c r="O116" s="56"/>
      <c r="P116" s="56">
        <f t="shared" si="1"/>
        <v>4800</v>
      </c>
      <c r="Q116" s="58"/>
    </row>
    <row r="117" ht="22.5" customHeight="1">
      <c r="A117" s="53">
        <v>114.0</v>
      </c>
      <c r="B117" s="54" t="s">
        <v>358</v>
      </c>
      <c r="C117" s="62">
        <v>1500.0</v>
      </c>
      <c r="D117" s="56">
        <v>1500.0</v>
      </c>
      <c r="E117" s="56">
        <v>1500.0</v>
      </c>
      <c r="F117" s="56">
        <v>1500.0</v>
      </c>
      <c r="G117" s="56">
        <v>0.0</v>
      </c>
      <c r="H117" s="56">
        <v>1500.0</v>
      </c>
      <c r="I117" s="56">
        <v>1500.0</v>
      </c>
      <c r="J117" s="56">
        <v>1500.0</v>
      </c>
      <c r="K117" s="56">
        <v>1500.0</v>
      </c>
      <c r="L117" s="56">
        <v>1500.0</v>
      </c>
      <c r="M117" s="56">
        <v>1500.0</v>
      </c>
      <c r="N117" s="56">
        <v>1500.0</v>
      </c>
      <c r="O117" s="56"/>
      <c r="P117" s="56">
        <f t="shared" si="1"/>
        <v>15000</v>
      </c>
      <c r="Q117" s="58"/>
    </row>
    <row r="118" ht="22.5" customHeight="1">
      <c r="A118" s="53">
        <v>115.0</v>
      </c>
      <c r="B118" s="54" t="s">
        <v>361</v>
      </c>
      <c r="C118" s="55">
        <v>3000.0</v>
      </c>
      <c r="D118" s="56">
        <v>3000.0</v>
      </c>
      <c r="E118" s="56">
        <v>3000.0</v>
      </c>
      <c r="F118" s="56">
        <v>3000.0</v>
      </c>
      <c r="G118" s="56">
        <v>0.0</v>
      </c>
      <c r="H118" s="56">
        <v>0.0</v>
      </c>
      <c r="I118" s="56">
        <v>0.0</v>
      </c>
      <c r="J118" s="56">
        <v>0.0</v>
      </c>
      <c r="K118" s="56">
        <v>3000.0</v>
      </c>
      <c r="L118" s="56">
        <v>3000.0</v>
      </c>
      <c r="M118" s="56">
        <v>0.0</v>
      </c>
      <c r="N118" s="56">
        <v>3000.0</v>
      </c>
      <c r="O118" s="56"/>
      <c r="P118" s="56">
        <f t="shared" si="1"/>
        <v>18000</v>
      </c>
      <c r="Q118" s="58"/>
    </row>
    <row r="119" ht="22.5" hidden="1" customHeight="1">
      <c r="A119" s="53">
        <v>116.0</v>
      </c>
      <c r="B119" s="54" t="s">
        <v>364</v>
      </c>
      <c r="C119" s="55">
        <v>1000.0</v>
      </c>
      <c r="D119" s="56">
        <v>0.0</v>
      </c>
      <c r="E119" s="56">
        <v>1000.0</v>
      </c>
      <c r="F119" s="56">
        <v>1000.0</v>
      </c>
      <c r="G119" s="56">
        <v>1000.0</v>
      </c>
      <c r="H119" s="56">
        <v>1000.0</v>
      </c>
      <c r="I119" s="56">
        <v>1000.0</v>
      </c>
      <c r="J119" s="56">
        <v>1000.0</v>
      </c>
      <c r="K119" s="56">
        <v>1000.0</v>
      </c>
      <c r="L119" s="56">
        <v>1000.0</v>
      </c>
      <c r="M119" s="56">
        <v>1000.0</v>
      </c>
      <c r="N119" s="56">
        <v>1000.0</v>
      </c>
      <c r="O119" s="56"/>
      <c r="P119" s="56">
        <f t="shared" si="1"/>
        <v>10000</v>
      </c>
      <c r="Q119" s="58"/>
    </row>
    <row r="120" ht="22.5" customHeight="1">
      <c r="A120" s="53">
        <v>117.0</v>
      </c>
      <c r="B120" s="54" t="s">
        <v>367</v>
      </c>
      <c r="C120" s="55">
        <v>800.0</v>
      </c>
      <c r="D120" s="56">
        <v>0.0</v>
      </c>
      <c r="E120" s="56">
        <v>800.0</v>
      </c>
      <c r="F120" s="56">
        <v>0.0</v>
      </c>
      <c r="G120" s="56">
        <v>0.0</v>
      </c>
      <c r="H120" s="56">
        <v>0.0</v>
      </c>
      <c r="I120" s="56">
        <v>0.0</v>
      </c>
      <c r="J120" s="56">
        <v>0.0</v>
      </c>
      <c r="K120" s="56">
        <v>800.0</v>
      </c>
      <c r="L120" s="56">
        <v>800.0</v>
      </c>
      <c r="M120" s="56">
        <v>800.0</v>
      </c>
      <c r="N120" s="56">
        <v>0.0</v>
      </c>
      <c r="O120" s="56"/>
      <c r="P120" s="56">
        <f t="shared" si="1"/>
        <v>3200</v>
      </c>
      <c r="Q120" s="58"/>
    </row>
    <row r="121" ht="22.5" customHeight="1">
      <c r="A121" s="53">
        <v>118.0</v>
      </c>
      <c r="B121" s="54" t="s">
        <v>370</v>
      </c>
      <c r="C121" s="62">
        <v>2500.0</v>
      </c>
      <c r="D121" s="56">
        <v>2500.0</v>
      </c>
      <c r="E121" s="56">
        <v>2500.0</v>
      </c>
      <c r="F121" s="56">
        <v>2500.0</v>
      </c>
      <c r="G121" s="56">
        <v>0.0</v>
      </c>
      <c r="H121" s="56">
        <v>0.0</v>
      </c>
      <c r="I121" s="56">
        <v>0.0</v>
      </c>
      <c r="J121" s="56">
        <v>0.0</v>
      </c>
      <c r="K121" s="56">
        <v>2500.0</v>
      </c>
      <c r="L121" s="56">
        <v>2500.0</v>
      </c>
      <c r="M121" s="56">
        <v>0.0</v>
      </c>
      <c r="N121" s="56">
        <v>2500.0</v>
      </c>
      <c r="O121" s="56"/>
      <c r="P121" s="56">
        <f t="shared" si="1"/>
        <v>15000</v>
      </c>
      <c r="Q121" s="58"/>
    </row>
    <row r="122" ht="22.5" hidden="1" customHeight="1">
      <c r="A122" s="53">
        <v>119.0</v>
      </c>
      <c r="B122" s="54" t="s">
        <v>373</v>
      </c>
      <c r="C122" s="62">
        <v>400.0</v>
      </c>
      <c r="D122" s="56">
        <v>0.0</v>
      </c>
      <c r="E122" s="56">
        <v>400.0</v>
      </c>
      <c r="F122" s="56">
        <v>400.0</v>
      </c>
      <c r="G122" s="56">
        <v>400.0</v>
      </c>
      <c r="H122" s="56">
        <v>400.0</v>
      </c>
      <c r="I122" s="56">
        <v>400.0</v>
      </c>
      <c r="J122" s="56">
        <v>0.0</v>
      </c>
      <c r="K122" s="56">
        <v>0.0</v>
      </c>
      <c r="L122" s="56">
        <v>0.0</v>
      </c>
      <c r="M122" s="56">
        <v>400.0</v>
      </c>
      <c r="N122" s="56">
        <v>400.0</v>
      </c>
      <c r="O122" s="56"/>
      <c r="P122" s="56">
        <f t="shared" si="1"/>
        <v>2800</v>
      </c>
      <c r="Q122" s="58"/>
    </row>
    <row r="123" ht="22.5" hidden="1" customHeight="1">
      <c r="A123" s="53">
        <v>120.0</v>
      </c>
      <c r="B123" s="54" t="s">
        <v>376</v>
      </c>
      <c r="C123" s="55">
        <v>4500.0</v>
      </c>
      <c r="D123" s="56">
        <v>4500.0</v>
      </c>
      <c r="E123" s="56">
        <v>4500.0</v>
      </c>
      <c r="F123" s="56">
        <v>4500.0</v>
      </c>
      <c r="G123" s="56">
        <v>4500.0</v>
      </c>
      <c r="H123" s="56">
        <v>4500.0</v>
      </c>
      <c r="I123" s="56">
        <v>0.0</v>
      </c>
      <c r="J123" s="56">
        <v>4500.0</v>
      </c>
      <c r="K123" s="56">
        <v>0.0</v>
      </c>
      <c r="L123" s="56">
        <v>4500.0</v>
      </c>
      <c r="M123" s="56">
        <v>4500.0</v>
      </c>
      <c r="N123" s="56">
        <v>4500.0</v>
      </c>
      <c r="O123" s="56"/>
      <c r="P123" s="56">
        <f t="shared" si="1"/>
        <v>40500</v>
      </c>
      <c r="Q123" s="58"/>
    </row>
    <row r="124" ht="22.5" hidden="1" customHeight="1">
      <c r="A124" s="53">
        <v>121.0</v>
      </c>
      <c r="B124" s="54" t="s">
        <v>379</v>
      </c>
      <c r="C124" s="55">
        <v>1000.0</v>
      </c>
      <c r="D124" s="56">
        <v>1000.0</v>
      </c>
      <c r="E124" s="56">
        <v>1000.0</v>
      </c>
      <c r="F124" s="56">
        <v>1000.0</v>
      </c>
      <c r="G124" s="56">
        <v>1000.0</v>
      </c>
      <c r="H124" s="56">
        <v>1000.0</v>
      </c>
      <c r="I124" s="56">
        <v>0.0</v>
      </c>
      <c r="J124" s="56">
        <v>1000.0</v>
      </c>
      <c r="K124" s="56">
        <v>0.0</v>
      </c>
      <c r="L124" s="56">
        <v>1000.0</v>
      </c>
      <c r="M124" s="56">
        <v>0.0</v>
      </c>
      <c r="N124" s="56">
        <v>0.0</v>
      </c>
      <c r="O124" s="56"/>
      <c r="P124" s="56">
        <f t="shared" si="1"/>
        <v>7000</v>
      </c>
      <c r="Q124" s="58"/>
    </row>
    <row r="125" ht="22.5" customHeight="1">
      <c r="A125" s="53">
        <v>122.0</v>
      </c>
      <c r="B125" s="54" t="s">
        <v>382</v>
      </c>
      <c r="C125" s="55">
        <v>2000.0</v>
      </c>
      <c r="D125" s="56">
        <v>12000.0</v>
      </c>
      <c r="E125" s="56">
        <v>0.0</v>
      </c>
      <c r="F125" s="56">
        <v>0.0</v>
      </c>
      <c r="G125" s="56">
        <v>0.0</v>
      </c>
      <c r="H125" s="56">
        <v>0.0</v>
      </c>
      <c r="I125" s="56">
        <v>0.0</v>
      </c>
      <c r="J125" s="56">
        <v>0.0</v>
      </c>
      <c r="K125" s="56">
        <v>0.0</v>
      </c>
      <c r="L125" s="56">
        <v>0.0</v>
      </c>
      <c r="M125" s="56">
        <v>0.0</v>
      </c>
      <c r="N125" s="56">
        <v>0.0</v>
      </c>
      <c r="O125" s="56"/>
      <c r="P125" s="56">
        <f t="shared" si="1"/>
        <v>12000</v>
      </c>
      <c r="Q125" s="58"/>
    </row>
    <row r="126" ht="22.5" customHeight="1">
      <c r="A126" s="53">
        <v>123.0</v>
      </c>
      <c r="B126" s="54" t="s">
        <v>385</v>
      </c>
      <c r="C126" s="55">
        <v>5000.0</v>
      </c>
      <c r="D126" s="56">
        <v>5000.0</v>
      </c>
      <c r="E126" s="56">
        <v>5000.0</v>
      </c>
      <c r="F126" s="56">
        <v>5000.0</v>
      </c>
      <c r="G126" s="56">
        <v>0.0</v>
      </c>
      <c r="H126" s="56">
        <v>5000.0</v>
      </c>
      <c r="I126" s="56">
        <v>5000.0</v>
      </c>
      <c r="J126" s="56">
        <v>5000.0</v>
      </c>
      <c r="K126" s="56">
        <v>5000.0</v>
      </c>
      <c r="L126" s="56">
        <v>5000.0</v>
      </c>
      <c r="M126" s="56">
        <v>5000.0</v>
      </c>
      <c r="N126" s="56">
        <v>5000.0</v>
      </c>
      <c r="O126" s="56"/>
      <c r="P126" s="56">
        <f t="shared" si="1"/>
        <v>50000</v>
      </c>
      <c r="Q126" s="58"/>
    </row>
    <row r="127" ht="22.5" customHeight="1">
      <c r="A127" s="53">
        <v>124.0</v>
      </c>
      <c r="B127" s="54" t="s">
        <v>388</v>
      </c>
      <c r="C127" s="55">
        <v>1200.0</v>
      </c>
      <c r="D127" s="56">
        <v>1200.0</v>
      </c>
      <c r="E127" s="56">
        <v>1200.0</v>
      </c>
      <c r="F127" s="56">
        <v>1200.0</v>
      </c>
      <c r="G127" s="56">
        <v>0.0</v>
      </c>
      <c r="H127" s="56">
        <v>1200.0</v>
      </c>
      <c r="I127" s="56">
        <v>0.0</v>
      </c>
      <c r="J127" s="56">
        <v>0.0</v>
      </c>
      <c r="K127" s="56">
        <v>0.0</v>
      </c>
      <c r="L127" s="56">
        <v>1200.0</v>
      </c>
      <c r="M127" s="56">
        <v>1200.0</v>
      </c>
      <c r="N127" s="56">
        <v>1200.0</v>
      </c>
      <c r="O127" s="56"/>
      <c r="P127" s="56">
        <f t="shared" si="1"/>
        <v>8400</v>
      </c>
      <c r="Q127" s="58"/>
    </row>
    <row r="128" ht="22.5" hidden="1" customHeight="1">
      <c r="A128" s="53">
        <v>125.0</v>
      </c>
      <c r="B128" s="54" t="s">
        <v>391</v>
      </c>
      <c r="C128" s="55">
        <v>700.0</v>
      </c>
      <c r="D128" s="56">
        <v>0.0</v>
      </c>
      <c r="E128" s="56">
        <v>700.0</v>
      </c>
      <c r="F128" s="56">
        <v>700.0</v>
      </c>
      <c r="G128" s="56">
        <v>700.0</v>
      </c>
      <c r="H128" s="56">
        <v>0.0</v>
      </c>
      <c r="I128" s="56">
        <v>700.0</v>
      </c>
      <c r="J128" s="56">
        <v>700.0</v>
      </c>
      <c r="K128" s="56">
        <v>700.0</v>
      </c>
      <c r="L128" s="56">
        <v>700.0</v>
      </c>
      <c r="M128" s="56">
        <v>0.0</v>
      </c>
      <c r="N128" s="56">
        <v>0.0</v>
      </c>
      <c r="O128" s="56"/>
      <c r="P128" s="56">
        <f t="shared" si="1"/>
        <v>4900</v>
      </c>
      <c r="Q128" s="58"/>
    </row>
    <row r="129" ht="22.5" hidden="1" customHeight="1">
      <c r="A129" s="53">
        <v>126.0</v>
      </c>
      <c r="B129" s="54" t="s">
        <v>394</v>
      </c>
      <c r="C129" s="55">
        <v>3500.0</v>
      </c>
      <c r="D129" s="56">
        <v>3500.0</v>
      </c>
      <c r="E129" s="56">
        <v>3500.0</v>
      </c>
      <c r="F129" s="56">
        <v>3500.0</v>
      </c>
      <c r="G129" s="56">
        <v>3500.0</v>
      </c>
      <c r="H129" s="56">
        <v>3500.0</v>
      </c>
      <c r="I129" s="56">
        <v>0.0</v>
      </c>
      <c r="J129" s="56">
        <v>0.0</v>
      </c>
      <c r="K129" s="56">
        <v>3500.0</v>
      </c>
      <c r="L129" s="56">
        <v>0.0</v>
      </c>
      <c r="M129" s="56">
        <v>3500.0</v>
      </c>
      <c r="N129" s="56">
        <v>3500.0</v>
      </c>
      <c r="O129" s="56"/>
      <c r="P129" s="56">
        <f t="shared" si="1"/>
        <v>28000</v>
      </c>
      <c r="Q129" s="58"/>
    </row>
    <row r="130" ht="26.25" hidden="1" customHeight="1">
      <c r="A130" s="53">
        <v>127.0</v>
      </c>
      <c r="B130" s="54" t="s">
        <v>397</v>
      </c>
      <c r="C130" s="55">
        <v>1500.0</v>
      </c>
      <c r="D130" s="56">
        <v>0.0</v>
      </c>
      <c r="E130" s="56">
        <v>1500.0</v>
      </c>
      <c r="F130" s="56">
        <v>1500.0</v>
      </c>
      <c r="G130" s="56">
        <v>1500.0</v>
      </c>
      <c r="H130" s="56">
        <v>0.0</v>
      </c>
      <c r="I130" s="56">
        <v>0.0</v>
      </c>
      <c r="J130" s="56">
        <v>0.0</v>
      </c>
      <c r="K130" s="56">
        <v>0.0</v>
      </c>
      <c r="L130" s="56">
        <v>0.0</v>
      </c>
      <c r="M130" s="56">
        <v>1500.0</v>
      </c>
      <c r="N130" s="56">
        <v>1500.0</v>
      </c>
      <c r="O130" s="56"/>
      <c r="P130" s="56">
        <f t="shared" si="1"/>
        <v>7500</v>
      </c>
      <c r="Q130" s="58"/>
    </row>
    <row r="131" ht="26.25" customHeight="1">
      <c r="A131" s="53">
        <v>128.0</v>
      </c>
      <c r="B131" s="54" t="s">
        <v>400</v>
      </c>
      <c r="C131" s="55">
        <v>2200.0</v>
      </c>
      <c r="D131" s="56">
        <v>2200.0</v>
      </c>
      <c r="E131" s="56">
        <v>2200.0</v>
      </c>
      <c r="F131" s="56">
        <v>2200.0</v>
      </c>
      <c r="G131" s="56">
        <v>0.0</v>
      </c>
      <c r="H131" s="56">
        <v>0.0</v>
      </c>
      <c r="I131" s="56">
        <v>2200.0</v>
      </c>
      <c r="J131" s="56">
        <v>2200.0</v>
      </c>
      <c r="K131" s="56">
        <v>0.0</v>
      </c>
      <c r="L131" s="56">
        <v>0.0</v>
      </c>
      <c r="M131" s="56">
        <v>0.0</v>
      </c>
      <c r="N131" s="56">
        <v>2200.0</v>
      </c>
      <c r="O131" s="56"/>
      <c r="P131" s="56">
        <f t="shared" si="1"/>
        <v>13200</v>
      </c>
      <c r="Q131" s="58"/>
    </row>
    <row r="132" ht="22.5" hidden="1" customHeight="1">
      <c r="A132" s="53">
        <v>129.0</v>
      </c>
      <c r="B132" s="54" t="s">
        <v>403</v>
      </c>
      <c r="C132" s="55">
        <v>300.0</v>
      </c>
      <c r="D132" s="56">
        <v>0.0</v>
      </c>
      <c r="E132" s="56">
        <v>300.0</v>
      </c>
      <c r="F132" s="56">
        <v>300.0</v>
      </c>
      <c r="G132" s="56">
        <v>300.0</v>
      </c>
      <c r="H132" s="56">
        <v>300.0</v>
      </c>
      <c r="I132" s="56">
        <v>300.0</v>
      </c>
      <c r="J132" s="56">
        <v>300.0</v>
      </c>
      <c r="K132" s="56">
        <v>0.0</v>
      </c>
      <c r="L132" s="56">
        <v>300.0</v>
      </c>
      <c r="M132" s="56">
        <v>300.0</v>
      </c>
      <c r="N132" s="56">
        <v>300.0</v>
      </c>
      <c r="O132" s="56"/>
      <c r="P132" s="56">
        <f t="shared" si="1"/>
        <v>2700</v>
      </c>
      <c r="Q132" s="58"/>
    </row>
    <row r="133" ht="22.5" customHeight="1">
      <c r="A133" s="53">
        <v>130.0</v>
      </c>
      <c r="B133" s="54" t="s">
        <v>406</v>
      </c>
      <c r="C133" s="55">
        <v>1000.0</v>
      </c>
      <c r="D133" s="56">
        <v>1000.0</v>
      </c>
      <c r="E133" s="56">
        <v>1000.0</v>
      </c>
      <c r="F133" s="56">
        <v>1000.0</v>
      </c>
      <c r="G133" s="56">
        <v>0.0</v>
      </c>
      <c r="H133" s="56">
        <v>1000.0</v>
      </c>
      <c r="I133" s="56">
        <v>1000.0</v>
      </c>
      <c r="J133" s="56">
        <v>1000.0</v>
      </c>
      <c r="K133" s="56">
        <v>1000.0</v>
      </c>
      <c r="L133" s="56">
        <v>1000.0</v>
      </c>
      <c r="M133" s="56">
        <v>1000.0</v>
      </c>
      <c r="N133" s="56">
        <v>1000.0</v>
      </c>
      <c r="O133" s="56"/>
      <c r="P133" s="56">
        <f t="shared" si="1"/>
        <v>10000</v>
      </c>
      <c r="Q133" s="58"/>
    </row>
    <row r="134" ht="22.5" hidden="1" customHeight="1">
      <c r="A134" s="53">
        <v>131.0</v>
      </c>
      <c r="B134" s="54" t="s">
        <v>409</v>
      </c>
      <c r="C134" s="55">
        <v>2500.0</v>
      </c>
      <c r="D134" s="56">
        <v>0.0</v>
      </c>
      <c r="E134" s="56">
        <v>2500.0</v>
      </c>
      <c r="F134" s="56">
        <v>2500.0</v>
      </c>
      <c r="G134" s="56">
        <v>2500.0</v>
      </c>
      <c r="H134" s="56">
        <v>0.0</v>
      </c>
      <c r="I134" s="56">
        <v>2500.0</v>
      </c>
      <c r="J134" s="56">
        <v>2500.0</v>
      </c>
      <c r="K134" s="56">
        <v>0.0</v>
      </c>
      <c r="L134" s="56">
        <v>2500.0</v>
      </c>
      <c r="M134" s="56">
        <v>0.0</v>
      </c>
      <c r="N134" s="56">
        <v>2500.0</v>
      </c>
      <c r="O134" s="56"/>
      <c r="P134" s="56">
        <f t="shared" si="1"/>
        <v>17500</v>
      </c>
      <c r="Q134" s="58"/>
    </row>
    <row r="135" ht="22.5" hidden="1" customHeight="1">
      <c r="A135" s="53">
        <v>132.0</v>
      </c>
      <c r="B135" s="54" t="s">
        <v>412</v>
      </c>
      <c r="C135" s="55">
        <v>1800.0</v>
      </c>
      <c r="D135" s="56">
        <v>0.0</v>
      </c>
      <c r="E135" s="56">
        <v>1800.0</v>
      </c>
      <c r="F135" s="56">
        <v>1800.0</v>
      </c>
      <c r="G135" s="56">
        <v>1800.0</v>
      </c>
      <c r="H135" s="56">
        <v>1800.0</v>
      </c>
      <c r="I135" s="56">
        <v>1800.0</v>
      </c>
      <c r="J135" s="56">
        <v>1800.0</v>
      </c>
      <c r="K135" s="56">
        <v>1800.0</v>
      </c>
      <c r="L135" s="56">
        <v>1800.0</v>
      </c>
      <c r="M135" s="56">
        <v>1800.0</v>
      </c>
      <c r="N135" s="56">
        <v>1800.0</v>
      </c>
      <c r="O135" s="56"/>
      <c r="P135" s="56">
        <f t="shared" si="1"/>
        <v>18000</v>
      </c>
      <c r="Q135" s="58"/>
    </row>
    <row r="136" ht="22.5" hidden="1" customHeight="1">
      <c r="A136" s="53">
        <v>133.0</v>
      </c>
      <c r="B136" s="54" t="s">
        <v>415</v>
      </c>
      <c r="C136" s="55">
        <v>600.0</v>
      </c>
      <c r="D136" s="56">
        <v>600.0</v>
      </c>
      <c r="E136" s="56">
        <v>600.0</v>
      </c>
      <c r="F136" s="56">
        <v>600.0</v>
      </c>
      <c r="G136" s="56">
        <v>600.0</v>
      </c>
      <c r="H136" s="56">
        <v>600.0</v>
      </c>
      <c r="I136" s="56">
        <v>600.0</v>
      </c>
      <c r="J136" s="56">
        <v>600.0</v>
      </c>
      <c r="K136" s="56">
        <v>600.0</v>
      </c>
      <c r="L136" s="56">
        <v>600.0</v>
      </c>
      <c r="M136" s="56">
        <v>600.0</v>
      </c>
      <c r="N136" s="56">
        <v>600.0</v>
      </c>
      <c r="O136" s="56"/>
      <c r="P136" s="56">
        <f t="shared" si="1"/>
        <v>6600</v>
      </c>
      <c r="Q136" s="58"/>
    </row>
    <row r="137" ht="22.5" customHeight="1">
      <c r="A137" s="53">
        <v>134.0</v>
      </c>
      <c r="B137" s="54" t="s">
        <v>418</v>
      </c>
      <c r="C137" s="55">
        <v>4000.0</v>
      </c>
      <c r="D137" s="56">
        <v>0.0</v>
      </c>
      <c r="E137" s="56">
        <v>4000.0</v>
      </c>
      <c r="F137" s="56">
        <v>4000.0</v>
      </c>
      <c r="G137" s="56">
        <v>0.0</v>
      </c>
      <c r="H137" s="56">
        <v>0.0</v>
      </c>
      <c r="I137" s="56">
        <v>0.0</v>
      </c>
      <c r="J137" s="56">
        <v>4000.0</v>
      </c>
      <c r="K137" s="56">
        <v>4000.0</v>
      </c>
      <c r="L137" s="56">
        <v>0.0</v>
      </c>
      <c r="M137" s="56">
        <v>4000.0</v>
      </c>
      <c r="N137" s="56">
        <v>4000.0</v>
      </c>
      <c r="O137" s="56"/>
      <c r="P137" s="56">
        <f t="shared" si="1"/>
        <v>24000</v>
      </c>
      <c r="Q137" s="58"/>
    </row>
    <row r="138" ht="22.5" hidden="1" customHeight="1">
      <c r="A138" s="53">
        <v>135.0</v>
      </c>
      <c r="B138" s="54" t="s">
        <v>421</v>
      </c>
      <c r="C138" s="55">
        <v>1000.0</v>
      </c>
      <c r="D138" s="56">
        <v>1000.0</v>
      </c>
      <c r="E138" s="56">
        <v>1000.0</v>
      </c>
      <c r="F138" s="56">
        <v>0.0</v>
      </c>
      <c r="G138" s="56">
        <v>1000.0</v>
      </c>
      <c r="H138" s="56">
        <v>1000.0</v>
      </c>
      <c r="I138" s="56">
        <v>1000.0</v>
      </c>
      <c r="J138" s="56">
        <v>0.0</v>
      </c>
      <c r="K138" s="56">
        <v>1000.0</v>
      </c>
      <c r="L138" s="56">
        <v>1000.0</v>
      </c>
      <c r="M138" s="56">
        <v>1000.0</v>
      </c>
      <c r="N138" s="56">
        <v>1000.0</v>
      </c>
      <c r="O138" s="56"/>
      <c r="P138" s="56">
        <f t="shared" si="1"/>
        <v>9000</v>
      </c>
      <c r="Q138" s="63"/>
    </row>
    <row r="139" ht="22.5" customHeight="1">
      <c r="A139" s="53">
        <v>136.0</v>
      </c>
      <c r="B139" s="54" t="s">
        <v>424</v>
      </c>
      <c r="C139" s="55">
        <v>2000.0</v>
      </c>
      <c r="D139" s="56">
        <v>0.0</v>
      </c>
      <c r="E139" s="56">
        <v>2000.0</v>
      </c>
      <c r="F139" s="56">
        <v>2000.0</v>
      </c>
      <c r="G139" s="56">
        <v>0.0</v>
      </c>
      <c r="H139" s="56">
        <v>2000.0</v>
      </c>
      <c r="I139" s="56">
        <v>2000.0</v>
      </c>
      <c r="J139" s="56">
        <v>0.0</v>
      </c>
      <c r="K139" s="56">
        <v>0.0</v>
      </c>
      <c r="L139" s="56">
        <v>2000.0</v>
      </c>
      <c r="M139" s="56">
        <v>2000.0</v>
      </c>
      <c r="N139" s="56">
        <v>2000.0</v>
      </c>
      <c r="O139" s="56"/>
      <c r="P139" s="56">
        <f t="shared" si="1"/>
        <v>14000</v>
      </c>
      <c r="Q139" s="64"/>
    </row>
    <row r="140" ht="22.5" customHeight="1">
      <c r="A140" s="53">
        <v>137.0</v>
      </c>
      <c r="B140" s="54" t="s">
        <v>427</v>
      </c>
      <c r="C140" s="55">
        <v>5000.0</v>
      </c>
      <c r="D140" s="56">
        <v>5000.0</v>
      </c>
      <c r="E140" s="56">
        <v>5000.0</v>
      </c>
      <c r="F140" s="56">
        <v>0.0</v>
      </c>
      <c r="G140" s="56">
        <v>0.0</v>
      </c>
      <c r="H140" s="56">
        <v>0.0</v>
      </c>
      <c r="I140" s="56">
        <v>0.0</v>
      </c>
      <c r="J140" s="56">
        <v>5000.0</v>
      </c>
      <c r="K140" s="56">
        <v>5000.0</v>
      </c>
      <c r="L140" s="56">
        <v>5000.0</v>
      </c>
      <c r="M140" s="56">
        <v>5000.0</v>
      </c>
      <c r="N140" s="56">
        <v>5000.0</v>
      </c>
      <c r="O140" s="56"/>
      <c r="P140" s="56">
        <f t="shared" si="1"/>
        <v>35000</v>
      </c>
      <c r="Q140" s="58"/>
    </row>
    <row r="141" ht="22.5" hidden="1" customHeight="1">
      <c r="A141" s="53">
        <v>138.0</v>
      </c>
      <c r="B141" s="54" t="s">
        <v>430</v>
      </c>
      <c r="C141" s="55">
        <v>500.0</v>
      </c>
      <c r="D141" s="56">
        <v>0.0</v>
      </c>
      <c r="E141" s="56">
        <v>500.0</v>
      </c>
      <c r="F141" s="56">
        <v>500.0</v>
      </c>
      <c r="G141" s="56">
        <v>500.0</v>
      </c>
      <c r="H141" s="56">
        <v>500.0</v>
      </c>
      <c r="I141" s="56">
        <v>500.0</v>
      </c>
      <c r="J141" s="56">
        <v>500.0</v>
      </c>
      <c r="K141" s="56">
        <v>0.0</v>
      </c>
      <c r="L141" s="56">
        <v>0.0</v>
      </c>
      <c r="M141" s="56">
        <v>500.0</v>
      </c>
      <c r="N141" s="56">
        <v>500.0</v>
      </c>
      <c r="O141" s="56"/>
      <c r="P141" s="56">
        <f t="shared" si="1"/>
        <v>4000</v>
      </c>
      <c r="Q141" s="58"/>
    </row>
    <row r="142" ht="22.5" customHeight="1">
      <c r="A142" s="53">
        <v>139.0</v>
      </c>
      <c r="B142" s="54" t="s">
        <v>433</v>
      </c>
      <c r="C142" s="55">
        <v>1500.0</v>
      </c>
      <c r="D142" s="56">
        <v>1500.0</v>
      </c>
      <c r="E142" s="56">
        <v>0.0</v>
      </c>
      <c r="F142" s="56">
        <v>0.0</v>
      </c>
      <c r="G142" s="56">
        <v>0.0</v>
      </c>
      <c r="H142" s="56">
        <v>1500.0</v>
      </c>
      <c r="I142" s="56">
        <v>0.0</v>
      </c>
      <c r="J142" s="56">
        <v>1500.0</v>
      </c>
      <c r="K142" s="56">
        <v>1500.0</v>
      </c>
      <c r="L142" s="56">
        <v>1500.0</v>
      </c>
      <c r="M142" s="56">
        <v>1500.0</v>
      </c>
      <c r="N142" s="56">
        <v>1500.0</v>
      </c>
      <c r="O142" s="56"/>
      <c r="P142" s="56">
        <f t="shared" si="1"/>
        <v>10500</v>
      </c>
    </row>
    <row r="143" ht="22.5" customHeight="1">
      <c r="A143" s="53">
        <v>140.0</v>
      </c>
      <c r="B143" s="54" t="s">
        <v>436</v>
      </c>
      <c r="C143" s="55">
        <v>3000.0</v>
      </c>
      <c r="D143" s="56">
        <v>3000.0</v>
      </c>
      <c r="E143" s="56">
        <v>3000.0</v>
      </c>
      <c r="F143" s="56">
        <v>3000.0</v>
      </c>
      <c r="G143" s="56">
        <v>0.0</v>
      </c>
      <c r="H143" s="56">
        <v>3000.0</v>
      </c>
      <c r="I143" s="56">
        <v>3000.0</v>
      </c>
      <c r="J143" s="56">
        <v>3000.0</v>
      </c>
      <c r="K143" s="56">
        <v>0.0</v>
      </c>
      <c r="L143" s="56">
        <v>3000.0</v>
      </c>
      <c r="M143" s="56">
        <v>3000.0</v>
      </c>
      <c r="N143" s="56">
        <v>3000.0</v>
      </c>
      <c r="O143" s="56"/>
      <c r="P143" s="56">
        <f t="shared" si="1"/>
        <v>27000</v>
      </c>
    </row>
    <row r="144" ht="22.5" hidden="1" customHeight="1">
      <c r="A144" s="53">
        <v>141.0</v>
      </c>
      <c r="B144" s="54" t="s">
        <v>439</v>
      </c>
      <c r="C144" s="55">
        <v>1200.0</v>
      </c>
      <c r="D144" s="56">
        <v>1200.0</v>
      </c>
      <c r="E144" s="56">
        <v>1200.0</v>
      </c>
      <c r="F144" s="56">
        <v>1200.0</v>
      </c>
      <c r="G144" s="56">
        <v>1200.0</v>
      </c>
      <c r="H144" s="56">
        <v>1200.0</v>
      </c>
      <c r="I144" s="56">
        <v>0.0</v>
      </c>
      <c r="J144" s="56">
        <v>0.0</v>
      </c>
      <c r="K144" s="56">
        <v>1200.0</v>
      </c>
      <c r="L144" s="56">
        <v>1200.0</v>
      </c>
      <c r="M144" s="56">
        <v>1200.0</v>
      </c>
      <c r="N144" s="56">
        <v>1200.0</v>
      </c>
      <c r="O144" s="56"/>
      <c r="P144" s="56">
        <f t="shared" si="1"/>
        <v>10800</v>
      </c>
    </row>
    <row r="145" ht="22.5" hidden="1" customHeight="1">
      <c r="A145" s="53">
        <v>142.0</v>
      </c>
      <c r="B145" s="54" t="s">
        <v>442</v>
      </c>
      <c r="C145" s="55">
        <v>900.0</v>
      </c>
      <c r="D145" s="56">
        <v>900.0</v>
      </c>
      <c r="E145" s="56">
        <v>0.0</v>
      </c>
      <c r="F145" s="56">
        <v>0.0</v>
      </c>
      <c r="G145" s="56">
        <v>900.0</v>
      </c>
      <c r="H145" s="56">
        <v>0.0</v>
      </c>
      <c r="I145" s="56">
        <v>900.0</v>
      </c>
      <c r="J145" s="56">
        <v>900.0</v>
      </c>
      <c r="K145" s="56">
        <v>900.0</v>
      </c>
      <c r="L145" s="56">
        <v>0.0</v>
      </c>
      <c r="M145" s="56">
        <v>900.0</v>
      </c>
      <c r="N145" s="56">
        <v>900.0</v>
      </c>
      <c r="O145" s="56"/>
      <c r="P145" s="56">
        <f t="shared" si="1"/>
        <v>6300</v>
      </c>
    </row>
    <row r="146" ht="22.5" hidden="1" customHeight="1">
      <c r="A146" s="53">
        <v>143.0</v>
      </c>
      <c r="B146" s="54" t="s">
        <v>445</v>
      </c>
      <c r="C146" s="55">
        <v>2500.0</v>
      </c>
      <c r="D146" s="56">
        <v>2500.0</v>
      </c>
      <c r="E146" s="56">
        <v>2500.0</v>
      </c>
      <c r="F146" s="56">
        <v>0.0</v>
      </c>
      <c r="G146" s="56">
        <v>2500.0</v>
      </c>
      <c r="H146" s="56">
        <v>0.0</v>
      </c>
      <c r="I146" s="56">
        <v>2500.0</v>
      </c>
      <c r="J146" s="56">
        <v>2500.0</v>
      </c>
      <c r="K146" s="56">
        <v>0.0</v>
      </c>
      <c r="L146" s="56">
        <v>2500.0</v>
      </c>
      <c r="M146" s="56">
        <v>2500.0</v>
      </c>
      <c r="N146" s="56">
        <v>2500.0</v>
      </c>
      <c r="O146" s="56"/>
      <c r="P146" s="56">
        <f t="shared" si="1"/>
        <v>20000</v>
      </c>
      <c r="Q146" s="65"/>
    </row>
    <row r="147" ht="22.5" customHeight="1">
      <c r="A147" s="53">
        <v>144.0</v>
      </c>
      <c r="B147" s="54" t="s">
        <v>448</v>
      </c>
      <c r="C147" s="55">
        <v>200.0</v>
      </c>
      <c r="D147" s="56">
        <v>200.0</v>
      </c>
      <c r="E147" s="56">
        <v>200.0</v>
      </c>
      <c r="F147" s="56">
        <v>0.0</v>
      </c>
      <c r="G147" s="56">
        <v>0.0</v>
      </c>
      <c r="H147" s="56">
        <v>200.0</v>
      </c>
      <c r="I147" s="56">
        <v>200.0</v>
      </c>
      <c r="J147" s="56">
        <v>200.0</v>
      </c>
      <c r="K147" s="56">
        <v>200.0</v>
      </c>
      <c r="L147" s="56">
        <v>200.0</v>
      </c>
      <c r="M147" s="56">
        <v>200.0</v>
      </c>
      <c r="N147" s="56">
        <v>200.0</v>
      </c>
      <c r="O147" s="56"/>
      <c r="P147" s="56">
        <f t="shared" si="1"/>
        <v>1800</v>
      </c>
      <c r="Q147" s="65"/>
    </row>
    <row r="148" ht="22.5" hidden="1" customHeight="1">
      <c r="A148" s="53">
        <v>145.0</v>
      </c>
      <c r="B148" s="54" t="s">
        <v>451</v>
      </c>
      <c r="C148" s="55">
        <v>1000.0</v>
      </c>
      <c r="D148" s="56">
        <v>1000.0</v>
      </c>
      <c r="E148" s="56">
        <v>1000.0</v>
      </c>
      <c r="F148" s="56">
        <v>1000.0</v>
      </c>
      <c r="G148" s="56">
        <v>1000.0</v>
      </c>
      <c r="H148" s="56">
        <v>1000.0</v>
      </c>
      <c r="I148" s="56">
        <v>0.0</v>
      </c>
      <c r="J148" s="56">
        <v>1000.0</v>
      </c>
      <c r="K148" s="56">
        <v>1000.0</v>
      </c>
      <c r="L148" s="56">
        <v>0.0</v>
      </c>
      <c r="M148" s="56">
        <v>1000.0</v>
      </c>
      <c r="N148" s="56">
        <v>1000.0</v>
      </c>
      <c r="O148" s="56"/>
      <c r="P148" s="56">
        <f t="shared" si="1"/>
        <v>9000</v>
      </c>
      <c r="Q148" s="65"/>
    </row>
    <row r="149" ht="22.5" hidden="1" customHeight="1">
      <c r="A149" s="53">
        <v>146.0</v>
      </c>
      <c r="B149" s="54" t="s">
        <v>454</v>
      </c>
      <c r="C149" s="55">
        <v>4500.0</v>
      </c>
      <c r="D149" s="56">
        <v>4500.0</v>
      </c>
      <c r="E149" s="56">
        <v>4500.0</v>
      </c>
      <c r="F149" s="56">
        <v>4500.0</v>
      </c>
      <c r="G149" s="56">
        <v>4500.0</v>
      </c>
      <c r="H149" s="56">
        <v>0.0</v>
      </c>
      <c r="I149" s="56">
        <v>4500.0</v>
      </c>
      <c r="J149" s="56">
        <v>4500.0</v>
      </c>
      <c r="K149" s="56">
        <v>0.0</v>
      </c>
      <c r="L149" s="56">
        <v>4500.0</v>
      </c>
      <c r="M149" s="56">
        <v>0.0</v>
      </c>
      <c r="N149" s="56">
        <v>4500.0</v>
      </c>
      <c r="O149" s="56"/>
      <c r="P149" s="56">
        <f t="shared" si="1"/>
        <v>36000</v>
      </c>
      <c r="Q149" s="65"/>
    </row>
    <row r="150" ht="22.5" hidden="1" customHeight="1">
      <c r="A150" s="53">
        <v>147.0</v>
      </c>
      <c r="B150" s="54" t="s">
        <v>457</v>
      </c>
      <c r="C150" s="55">
        <v>2000.0</v>
      </c>
      <c r="D150" s="56">
        <v>2000.0</v>
      </c>
      <c r="E150" s="56">
        <v>2000.0</v>
      </c>
      <c r="F150" s="56">
        <v>2000.0</v>
      </c>
      <c r="G150" s="56">
        <v>2000.0</v>
      </c>
      <c r="H150" s="56">
        <v>2000.0</v>
      </c>
      <c r="I150" s="56">
        <v>0.0</v>
      </c>
      <c r="J150" s="56">
        <v>2000.0</v>
      </c>
      <c r="K150" s="56">
        <v>0.0</v>
      </c>
      <c r="L150" s="56">
        <v>2000.0</v>
      </c>
      <c r="M150" s="56">
        <v>2000.0</v>
      </c>
      <c r="N150" s="56">
        <v>2000.0</v>
      </c>
      <c r="O150" s="56"/>
      <c r="P150" s="56">
        <f t="shared" si="1"/>
        <v>18000</v>
      </c>
      <c r="Q150" s="65"/>
    </row>
    <row r="151" ht="22.5" hidden="1" customHeight="1">
      <c r="A151" s="53">
        <v>148.0</v>
      </c>
      <c r="B151" s="54" t="s">
        <v>460</v>
      </c>
      <c r="C151" s="55">
        <v>5000.0</v>
      </c>
      <c r="D151" s="56">
        <v>0.0</v>
      </c>
      <c r="E151" s="56">
        <v>5000.0</v>
      </c>
      <c r="F151" s="56">
        <v>0.0</v>
      </c>
      <c r="G151" s="56">
        <v>10000.0</v>
      </c>
      <c r="H151" s="56">
        <v>5000.0</v>
      </c>
      <c r="I151" s="56">
        <v>5000.0</v>
      </c>
      <c r="J151" s="56">
        <v>5000.0</v>
      </c>
      <c r="K151" s="56">
        <v>5000.0</v>
      </c>
      <c r="L151" s="56">
        <v>0.0</v>
      </c>
      <c r="M151" s="56">
        <v>5000.0</v>
      </c>
      <c r="N151" s="56">
        <v>5000.0</v>
      </c>
      <c r="O151" s="56"/>
      <c r="P151" s="56">
        <f t="shared" si="1"/>
        <v>45000</v>
      </c>
      <c r="Q151" s="65"/>
    </row>
    <row r="152" ht="22.5" customHeight="1">
      <c r="A152" s="53">
        <v>149.0</v>
      </c>
      <c r="B152" s="54" t="s">
        <v>463</v>
      </c>
      <c r="C152" s="55">
        <v>700.0</v>
      </c>
      <c r="D152" s="56">
        <v>0.0</v>
      </c>
      <c r="E152" s="56">
        <v>0.0</v>
      </c>
      <c r="F152" s="56">
        <v>0.0</v>
      </c>
      <c r="G152" s="56">
        <v>0.0</v>
      </c>
      <c r="H152" s="56">
        <v>0.0</v>
      </c>
      <c r="I152" s="56">
        <v>0.0</v>
      </c>
      <c r="J152" s="56">
        <v>0.0</v>
      </c>
      <c r="K152" s="56">
        <v>0.0</v>
      </c>
      <c r="L152" s="56">
        <v>0.0</v>
      </c>
      <c r="M152" s="56">
        <v>0.0</v>
      </c>
      <c r="N152" s="56">
        <v>0.0</v>
      </c>
      <c r="O152" s="56"/>
      <c r="P152" s="56">
        <f t="shared" si="1"/>
        <v>0</v>
      </c>
      <c r="Q152" s="65"/>
    </row>
    <row r="153" ht="22.5" hidden="1" customHeight="1">
      <c r="A153" s="53">
        <v>150.0</v>
      </c>
      <c r="B153" s="54" t="s">
        <v>466</v>
      </c>
      <c r="C153" s="55">
        <v>1500.0</v>
      </c>
      <c r="D153" s="56">
        <v>0.0</v>
      </c>
      <c r="E153" s="56">
        <v>1500.0</v>
      </c>
      <c r="F153" s="56">
        <v>1500.0</v>
      </c>
      <c r="G153" s="56">
        <v>1500.0</v>
      </c>
      <c r="H153" s="56">
        <v>1500.0</v>
      </c>
      <c r="I153" s="56">
        <v>1500.0</v>
      </c>
      <c r="J153" s="56">
        <v>1500.0</v>
      </c>
      <c r="K153" s="56">
        <v>0.0</v>
      </c>
      <c r="L153" s="56">
        <v>1500.0</v>
      </c>
      <c r="M153" s="56">
        <v>1500.0</v>
      </c>
      <c r="N153" s="56">
        <v>1500.0</v>
      </c>
      <c r="O153" s="56"/>
      <c r="P153" s="56">
        <f t="shared" si="1"/>
        <v>13500</v>
      </c>
      <c r="Q153" s="65"/>
    </row>
    <row r="154" ht="22.5" hidden="1" customHeight="1">
      <c r="A154" s="53">
        <v>151.0</v>
      </c>
      <c r="B154" s="54" t="s">
        <v>469</v>
      </c>
      <c r="C154" s="55">
        <v>3500.0</v>
      </c>
      <c r="D154" s="56">
        <v>0.0</v>
      </c>
      <c r="E154" s="56">
        <v>3500.0</v>
      </c>
      <c r="F154" s="56">
        <v>3500.0</v>
      </c>
      <c r="G154" s="56">
        <v>3500.0</v>
      </c>
      <c r="H154" s="56">
        <v>3500.0</v>
      </c>
      <c r="I154" s="56">
        <v>0.0</v>
      </c>
      <c r="J154" s="56">
        <v>3500.0</v>
      </c>
      <c r="K154" s="56">
        <v>3500.0</v>
      </c>
      <c r="L154" s="56">
        <v>0.0</v>
      </c>
      <c r="M154" s="56">
        <v>3500.0</v>
      </c>
      <c r="N154" s="56">
        <v>3500.0</v>
      </c>
      <c r="O154" s="56"/>
      <c r="P154" s="56">
        <f t="shared" si="1"/>
        <v>28000</v>
      </c>
      <c r="Q154" s="65"/>
    </row>
    <row r="155" ht="22.5" hidden="1" customHeight="1">
      <c r="A155" s="53">
        <v>152.0</v>
      </c>
      <c r="B155" s="54" t="s">
        <v>472</v>
      </c>
      <c r="C155" s="55">
        <v>1000.0</v>
      </c>
      <c r="D155" s="56">
        <v>0.0</v>
      </c>
      <c r="E155" s="56">
        <v>1000.0</v>
      </c>
      <c r="F155" s="56">
        <v>1000.0</v>
      </c>
      <c r="G155" s="56">
        <v>1000.0</v>
      </c>
      <c r="H155" s="56">
        <v>0.0</v>
      </c>
      <c r="I155" s="56">
        <v>1000.0</v>
      </c>
      <c r="J155" s="56">
        <v>0.0</v>
      </c>
      <c r="K155" s="56">
        <v>1000.0</v>
      </c>
      <c r="L155" s="56">
        <v>0.0</v>
      </c>
      <c r="M155" s="56">
        <v>1000.0</v>
      </c>
      <c r="N155" s="56">
        <v>1000.0</v>
      </c>
      <c r="O155" s="56"/>
      <c r="P155" s="56">
        <f t="shared" si="1"/>
        <v>7000</v>
      </c>
      <c r="Q155" s="65"/>
    </row>
    <row r="156" ht="22.5" customHeight="1">
      <c r="A156" s="53">
        <v>153.0</v>
      </c>
      <c r="B156" s="54" t="s">
        <v>475</v>
      </c>
      <c r="C156" s="55">
        <v>800.0</v>
      </c>
      <c r="D156" s="56">
        <v>800.0</v>
      </c>
      <c r="E156" s="56">
        <v>800.0</v>
      </c>
      <c r="F156" s="56">
        <v>800.0</v>
      </c>
      <c r="G156" s="56">
        <v>0.0</v>
      </c>
      <c r="H156" s="56">
        <v>0.0</v>
      </c>
      <c r="I156" s="56">
        <v>0.0</v>
      </c>
      <c r="J156" s="56">
        <v>800.0</v>
      </c>
      <c r="K156" s="56">
        <v>800.0</v>
      </c>
      <c r="L156" s="56">
        <v>800.0</v>
      </c>
      <c r="M156" s="56">
        <v>0.0</v>
      </c>
      <c r="N156" s="56">
        <v>800.0</v>
      </c>
      <c r="O156" s="56"/>
      <c r="P156" s="56">
        <f t="shared" si="1"/>
        <v>5600</v>
      </c>
      <c r="Q156" s="65"/>
    </row>
    <row r="157" ht="22.5" hidden="1" customHeight="1">
      <c r="A157" s="53">
        <v>154.0</v>
      </c>
      <c r="B157" s="54" t="s">
        <v>478</v>
      </c>
      <c r="C157" s="55">
        <v>2200.0</v>
      </c>
      <c r="D157" s="56">
        <v>0.0</v>
      </c>
      <c r="E157" s="56">
        <v>2200.0</v>
      </c>
      <c r="F157" s="56">
        <v>0.0</v>
      </c>
      <c r="G157" s="56">
        <v>2200.0</v>
      </c>
      <c r="H157" s="56">
        <v>0.0</v>
      </c>
      <c r="I157" s="56">
        <v>0.0</v>
      </c>
      <c r="J157" s="56">
        <v>2200.0</v>
      </c>
      <c r="K157" s="56">
        <v>2200.0</v>
      </c>
      <c r="L157" s="56">
        <v>0.0</v>
      </c>
      <c r="M157" s="56">
        <v>2200.0</v>
      </c>
      <c r="N157" s="56">
        <v>2200.0</v>
      </c>
      <c r="O157" s="56"/>
      <c r="P157" s="56">
        <f t="shared" si="1"/>
        <v>13200</v>
      </c>
      <c r="Q157" s="65"/>
    </row>
    <row r="158" ht="22.5" hidden="1" customHeight="1">
      <c r="A158" s="53">
        <v>155.0</v>
      </c>
      <c r="B158" s="54" t="s">
        <v>481</v>
      </c>
      <c r="C158" s="55">
        <v>1200.0</v>
      </c>
      <c r="D158" s="56">
        <v>1200.0</v>
      </c>
      <c r="E158" s="56">
        <v>1200.0</v>
      </c>
      <c r="F158" s="56">
        <v>1200.0</v>
      </c>
      <c r="G158" s="56">
        <v>1200.0</v>
      </c>
      <c r="H158" s="56">
        <v>0.0</v>
      </c>
      <c r="I158" s="56">
        <v>0.0</v>
      </c>
      <c r="J158" s="56">
        <v>1200.0</v>
      </c>
      <c r="K158" s="56">
        <v>0.0</v>
      </c>
      <c r="L158" s="56">
        <v>1200.0</v>
      </c>
      <c r="M158" s="56">
        <v>1200.0</v>
      </c>
      <c r="N158" s="56">
        <v>1200.0</v>
      </c>
      <c r="O158" s="56"/>
      <c r="P158" s="56">
        <f t="shared" si="1"/>
        <v>9600</v>
      </c>
      <c r="Q158" s="65"/>
    </row>
    <row r="159" ht="22.5" hidden="1" customHeight="1">
      <c r="A159" s="53">
        <v>156.0</v>
      </c>
      <c r="B159" s="54" t="s">
        <v>484</v>
      </c>
      <c r="C159" s="55">
        <v>4000.0</v>
      </c>
      <c r="D159" s="56">
        <v>4000.0</v>
      </c>
      <c r="E159" s="56">
        <v>4000.0</v>
      </c>
      <c r="F159" s="56">
        <v>4000.0</v>
      </c>
      <c r="G159" s="56">
        <v>4000.0</v>
      </c>
      <c r="H159" s="56">
        <v>0.0</v>
      </c>
      <c r="I159" s="56">
        <v>4000.0</v>
      </c>
      <c r="J159" s="56">
        <v>0.0</v>
      </c>
      <c r="K159" s="56">
        <v>0.0</v>
      </c>
      <c r="L159" s="56">
        <v>0.0</v>
      </c>
      <c r="M159" s="56">
        <v>4000.0</v>
      </c>
      <c r="N159" s="56">
        <v>4000.0</v>
      </c>
      <c r="O159" s="56"/>
      <c r="P159" s="56">
        <f t="shared" si="1"/>
        <v>28000</v>
      </c>
      <c r="Q159" s="65"/>
    </row>
    <row r="160" ht="22.5" hidden="1" customHeight="1">
      <c r="A160" s="53">
        <v>157.0</v>
      </c>
      <c r="B160" s="54" t="s">
        <v>487</v>
      </c>
      <c r="C160" s="55">
        <v>500.0</v>
      </c>
      <c r="D160" s="56">
        <v>0.0</v>
      </c>
      <c r="E160" s="56">
        <v>500.0</v>
      </c>
      <c r="F160" s="56">
        <v>0.0</v>
      </c>
      <c r="G160" s="56">
        <v>500.0</v>
      </c>
      <c r="H160" s="56">
        <v>500.0</v>
      </c>
      <c r="I160" s="56">
        <v>0.0</v>
      </c>
      <c r="J160" s="56">
        <v>500.0</v>
      </c>
      <c r="K160" s="56">
        <v>0.0</v>
      </c>
      <c r="L160" s="56">
        <v>500.0</v>
      </c>
      <c r="M160" s="56">
        <v>500.0</v>
      </c>
      <c r="N160" s="56">
        <v>500.0</v>
      </c>
      <c r="O160" s="56"/>
      <c r="P160" s="56">
        <f t="shared" si="1"/>
        <v>3500</v>
      </c>
      <c r="Q160" s="65"/>
    </row>
    <row r="161" ht="22.5" customHeight="1">
      <c r="A161" s="53">
        <v>158.0</v>
      </c>
      <c r="B161" s="54" t="s">
        <v>490</v>
      </c>
      <c r="C161" s="55">
        <v>2500.0</v>
      </c>
      <c r="D161" s="56">
        <v>2500.0</v>
      </c>
      <c r="E161" s="56">
        <v>2500.0</v>
      </c>
      <c r="F161" s="56">
        <v>2500.0</v>
      </c>
      <c r="G161" s="56">
        <v>0.0</v>
      </c>
      <c r="H161" s="56">
        <v>0.0</v>
      </c>
      <c r="I161" s="56">
        <v>2500.0</v>
      </c>
      <c r="J161" s="56">
        <v>2500.0</v>
      </c>
      <c r="K161" s="56">
        <v>0.0</v>
      </c>
      <c r="L161" s="56">
        <v>2500.0</v>
      </c>
      <c r="M161" s="56">
        <v>2500.0</v>
      </c>
      <c r="N161" s="56">
        <v>2500.0</v>
      </c>
      <c r="O161" s="56"/>
      <c r="P161" s="56">
        <f t="shared" si="1"/>
        <v>20000</v>
      </c>
      <c r="Q161" s="65"/>
    </row>
    <row r="162" ht="22.5" hidden="1" customHeight="1">
      <c r="A162" s="53">
        <v>159.0</v>
      </c>
      <c r="B162" s="54" t="s">
        <v>493</v>
      </c>
      <c r="C162" s="55">
        <v>5000.0</v>
      </c>
      <c r="D162" s="56">
        <v>5000.0</v>
      </c>
      <c r="E162" s="56">
        <v>0.0</v>
      </c>
      <c r="F162" s="56">
        <v>5000.0</v>
      </c>
      <c r="G162" s="56">
        <v>5000.0</v>
      </c>
      <c r="H162" s="56">
        <v>0.0</v>
      </c>
      <c r="I162" s="56">
        <v>5000.0</v>
      </c>
      <c r="J162" s="56">
        <v>5000.0</v>
      </c>
      <c r="K162" s="56">
        <v>5000.0</v>
      </c>
      <c r="L162" s="56">
        <v>5000.0</v>
      </c>
      <c r="M162" s="56">
        <v>0.0</v>
      </c>
      <c r="N162" s="56">
        <v>5000.0</v>
      </c>
      <c r="O162" s="56"/>
      <c r="P162" s="56">
        <f t="shared" si="1"/>
        <v>40000</v>
      </c>
      <c r="Q162" s="65"/>
    </row>
    <row r="163" ht="22.5" hidden="1" customHeight="1">
      <c r="A163" s="53">
        <v>160.0</v>
      </c>
      <c r="B163" s="54" t="s">
        <v>496</v>
      </c>
      <c r="C163" s="55">
        <v>1000.0</v>
      </c>
      <c r="D163" s="56">
        <v>0.0</v>
      </c>
      <c r="E163" s="56">
        <v>1000.0</v>
      </c>
      <c r="F163" s="56">
        <v>1000.0</v>
      </c>
      <c r="G163" s="56">
        <v>1000.0</v>
      </c>
      <c r="H163" s="56">
        <v>6500.0</v>
      </c>
      <c r="I163" s="56">
        <v>0.0</v>
      </c>
      <c r="J163" s="56">
        <v>0.0</v>
      </c>
      <c r="K163" s="56">
        <v>0.0</v>
      </c>
      <c r="L163" s="56">
        <v>0.0</v>
      </c>
      <c r="M163" s="56">
        <v>0.0</v>
      </c>
      <c r="N163" s="56">
        <v>500.0</v>
      </c>
      <c r="O163" s="56"/>
      <c r="P163" s="56">
        <f t="shared" si="1"/>
        <v>10000</v>
      </c>
      <c r="Q163" s="65"/>
    </row>
    <row r="164" ht="22.5" customHeight="1">
      <c r="A164" s="53">
        <v>161.0</v>
      </c>
      <c r="B164" s="54" t="s">
        <v>499</v>
      </c>
      <c r="C164" s="55">
        <v>1500.0</v>
      </c>
      <c r="D164" s="56">
        <v>0.0</v>
      </c>
      <c r="E164" s="56">
        <v>1500.0</v>
      </c>
      <c r="F164" s="56">
        <v>0.0</v>
      </c>
      <c r="G164" s="56">
        <v>0.0</v>
      </c>
      <c r="H164" s="56">
        <v>1500.0</v>
      </c>
      <c r="I164" s="56">
        <v>0.0</v>
      </c>
      <c r="J164" s="56">
        <v>0.0</v>
      </c>
      <c r="K164" s="56">
        <v>1500.0</v>
      </c>
      <c r="L164" s="56">
        <v>0.0</v>
      </c>
      <c r="M164" s="56">
        <v>1500.0</v>
      </c>
      <c r="N164" s="56">
        <v>1500.0</v>
      </c>
      <c r="O164" s="56"/>
      <c r="P164" s="56">
        <f t="shared" si="1"/>
        <v>7500</v>
      </c>
      <c r="Q164" s="65"/>
    </row>
    <row r="165" ht="22.5" customHeight="1">
      <c r="A165" s="53">
        <v>162.0</v>
      </c>
      <c r="B165" s="54" t="s">
        <v>502</v>
      </c>
      <c r="C165" s="55">
        <v>3000.0</v>
      </c>
      <c r="D165" s="56">
        <v>3000.0</v>
      </c>
      <c r="E165" s="56">
        <v>3000.0</v>
      </c>
      <c r="F165" s="56">
        <v>3000.0</v>
      </c>
      <c r="G165" s="56">
        <v>0.0</v>
      </c>
      <c r="H165" s="56">
        <v>3000.0</v>
      </c>
      <c r="I165" s="56">
        <v>0.0</v>
      </c>
      <c r="J165" s="56">
        <v>3000.0</v>
      </c>
      <c r="K165" s="56">
        <v>3000.0</v>
      </c>
      <c r="L165" s="56">
        <v>3000.0</v>
      </c>
      <c r="M165" s="56">
        <v>3000.0</v>
      </c>
      <c r="N165" s="56">
        <v>0.0</v>
      </c>
      <c r="O165" s="56"/>
      <c r="P165" s="56">
        <f t="shared" si="1"/>
        <v>24000</v>
      </c>
      <c r="Q165" s="65"/>
    </row>
    <row r="166" ht="22.5" customHeight="1">
      <c r="A166" s="53">
        <v>163.0</v>
      </c>
      <c r="B166" s="54" t="s">
        <v>505</v>
      </c>
      <c r="C166" s="55">
        <v>600.0</v>
      </c>
      <c r="D166" s="56">
        <v>600.0</v>
      </c>
      <c r="E166" s="56">
        <v>600.0</v>
      </c>
      <c r="F166" s="56">
        <v>600.0</v>
      </c>
      <c r="G166" s="56">
        <v>0.0</v>
      </c>
      <c r="H166" s="56">
        <v>600.0</v>
      </c>
      <c r="I166" s="56">
        <v>600.0</v>
      </c>
      <c r="J166" s="56">
        <v>0.0</v>
      </c>
      <c r="K166" s="56">
        <v>600.0</v>
      </c>
      <c r="L166" s="56">
        <v>0.0</v>
      </c>
      <c r="M166" s="56">
        <v>0.0</v>
      </c>
      <c r="N166" s="56">
        <v>600.0</v>
      </c>
      <c r="O166" s="56"/>
      <c r="P166" s="56">
        <f t="shared" si="1"/>
        <v>4200</v>
      </c>
      <c r="Q166" s="65"/>
    </row>
    <row r="167" ht="22.5" hidden="1" customHeight="1">
      <c r="A167" s="53">
        <v>164.0</v>
      </c>
      <c r="B167" s="54" t="s">
        <v>508</v>
      </c>
      <c r="C167" s="55">
        <v>2000.0</v>
      </c>
      <c r="D167" s="56">
        <v>2000.0</v>
      </c>
      <c r="E167" s="56">
        <v>2000.0</v>
      </c>
      <c r="F167" s="56">
        <v>2000.0</v>
      </c>
      <c r="G167" s="56">
        <v>2000.0</v>
      </c>
      <c r="H167" s="56">
        <v>0.0</v>
      </c>
      <c r="I167" s="56">
        <v>2000.0</v>
      </c>
      <c r="J167" s="56">
        <v>2000.0</v>
      </c>
      <c r="K167" s="56">
        <v>2000.0</v>
      </c>
      <c r="L167" s="56">
        <v>2000.0</v>
      </c>
      <c r="M167" s="56">
        <v>2000.0</v>
      </c>
      <c r="N167" s="56">
        <v>2000.0</v>
      </c>
      <c r="O167" s="56"/>
      <c r="P167" s="56">
        <f t="shared" si="1"/>
        <v>20000</v>
      </c>
      <c r="Q167" s="65"/>
    </row>
    <row r="168" ht="22.5" hidden="1" customHeight="1">
      <c r="A168" s="53">
        <v>165.0</v>
      </c>
      <c r="B168" s="54" t="s">
        <v>511</v>
      </c>
      <c r="C168" s="55">
        <v>1200.0</v>
      </c>
      <c r="D168" s="56">
        <v>1200.0</v>
      </c>
      <c r="E168" s="56">
        <v>1200.0</v>
      </c>
      <c r="F168" s="56">
        <v>1200.0</v>
      </c>
      <c r="G168" s="56">
        <v>1200.0</v>
      </c>
      <c r="H168" s="56">
        <v>0.0</v>
      </c>
      <c r="I168" s="56">
        <v>1200.0</v>
      </c>
      <c r="J168" s="56">
        <v>1200.0</v>
      </c>
      <c r="K168" s="56">
        <v>0.0</v>
      </c>
      <c r="L168" s="56">
        <v>0.0</v>
      </c>
      <c r="M168" s="56">
        <v>0.0</v>
      </c>
      <c r="N168" s="56">
        <v>1200.0</v>
      </c>
      <c r="O168" s="56"/>
      <c r="P168" s="56">
        <f t="shared" si="1"/>
        <v>8400</v>
      </c>
      <c r="Q168" s="65"/>
    </row>
    <row r="169" ht="22.5" hidden="1" customHeight="1">
      <c r="A169" s="53">
        <v>166.0</v>
      </c>
      <c r="B169" s="54" t="s">
        <v>514</v>
      </c>
      <c r="C169" s="55">
        <v>4500.0</v>
      </c>
      <c r="D169" s="56">
        <v>4500.0</v>
      </c>
      <c r="E169" s="56">
        <v>4500.0</v>
      </c>
      <c r="F169" s="56">
        <v>4500.0</v>
      </c>
      <c r="G169" s="56">
        <v>4500.0</v>
      </c>
      <c r="H169" s="56">
        <v>0.0</v>
      </c>
      <c r="I169" s="56">
        <v>4500.0</v>
      </c>
      <c r="J169" s="56">
        <v>4500.0</v>
      </c>
      <c r="K169" s="56">
        <v>0.0</v>
      </c>
      <c r="L169" s="56">
        <v>0.0</v>
      </c>
      <c r="M169" s="56">
        <v>4500.0</v>
      </c>
      <c r="N169" s="56">
        <v>4500.0</v>
      </c>
      <c r="O169" s="56"/>
      <c r="P169" s="56">
        <f t="shared" si="1"/>
        <v>36000</v>
      </c>
      <c r="Q169" s="65"/>
    </row>
    <row r="170" ht="22.5" hidden="1" customHeight="1">
      <c r="A170" s="53">
        <v>167.0</v>
      </c>
      <c r="B170" s="54" t="s">
        <v>517</v>
      </c>
      <c r="C170" s="55">
        <v>300.0</v>
      </c>
      <c r="D170" s="56">
        <v>300.0</v>
      </c>
      <c r="E170" s="56">
        <v>300.0</v>
      </c>
      <c r="F170" s="56">
        <v>300.0</v>
      </c>
      <c r="G170" s="56">
        <v>300.0</v>
      </c>
      <c r="H170" s="56">
        <v>300.0</v>
      </c>
      <c r="I170" s="56">
        <v>0.0</v>
      </c>
      <c r="J170" s="56">
        <v>300.0</v>
      </c>
      <c r="K170" s="56">
        <v>0.0</v>
      </c>
      <c r="L170" s="56">
        <v>0.0</v>
      </c>
      <c r="M170" s="56">
        <v>300.0</v>
      </c>
      <c r="N170" s="56">
        <v>300.0</v>
      </c>
      <c r="O170" s="56"/>
      <c r="P170" s="56">
        <f t="shared" si="1"/>
        <v>2400</v>
      </c>
      <c r="Q170" s="65"/>
    </row>
    <row r="171" ht="22.5" customHeight="1">
      <c r="A171" s="53">
        <v>168.0</v>
      </c>
      <c r="B171" s="54" t="s">
        <v>520</v>
      </c>
      <c r="C171" s="55">
        <v>1000.0</v>
      </c>
      <c r="D171" s="56">
        <v>1000.0</v>
      </c>
      <c r="E171" s="56">
        <v>1000.0</v>
      </c>
      <c r="F171" s="56">
        <v>0.0</v>
      </c>
      <c r="G171" s="56">
        <v>0.0</v>
      </c>
      <c r="H171" s="56">
        <v>1000.0</v>
      </c>
      <c r="I171" s="56">
        <v>1000.0</v>
      </c>
      <c r="J171" s="56">
        <v>0.0</v>
      </c>
      <c r="K171" s="56">
        <v>0.0</v>
      </c>
      <c r="L171" s="56">
        <v>0.0</v>
      </c>
      <c r="M171" s="56">
        <v>1000.0</v>
      </c>
      <c r="N171" s="56">
        <v>1000.0</v>
      </c>
      <c r="O171" s="56"/>
      <c r="P171" s="56">
        <f t="shared" si="1"/>
        <v>6000</v>
      </c>
      <c r="Q171" s="65"/>
    </row>
    <row r="172" ht="22.5" hidden="1" customHeight="1">
      <c r="A172" s="53">
        <v>169.0</v>
      </c>
      <c r="B172" s="54" t="s">
        <v>523</v>
      </c>
      <c r="C172" s="55">
        <v>2500.0</v>
      </c>
      <c r="D172" s="56">
        <v>2500.0</v>
      </c>
      <c r="E172" s="56">
        <v>2500.0</v>
      </c>
      <c r="F172" s="56">
        <v>2500.0</v>
      </c>
      <c r="G172" s="56">
        <v>2500.0</v>
      </c>
      <c r="H172" s="56">
        <v>2500.0</v>
      </c>
      <c r="I172" s="56">
        <v>2500.0</v>
      </c>
      <c r="J172" s="56">
        <v>2500.0</v>
      </c>
      <c r="K172" s="56">
        <v>0.0</v>
      </c>
      <c r="L172" s="56">
        <v>0.0</v>
      </c>
      <c r="M172" s="56">
        <v>2500.0</v>
      </c>
      <c r="N172" s="56">
        <v>2500.0</v>
      </c>
      <c r="O172" s="56"/>
      <c r="P172" s="56">
        <f t="shared" si="1"/>
        <v>22500</v>
      </c>
      <c r="Q172" s="65"/>
    </row>
    <row r="173" ht="22.5" hidden="1" customHeight="1">
      <c r="A173" s="53">
        <v>170.0</v>
      </c>
      <c r="B173" s="54" t="s">
        <v>526</v>
      </c>
      <c r="C173" s="55">
        <v>5000.0</v>
      </c>
      <c r="D173" s="56">
        <v>5000.0</v>
      </c>
      <c r="E173" s="56">
        <v>5000.0</v>
      </c>
      <c r="F173" s="56">
        <v>0.0</v>
      </c>
      <c r="G173" s="56">
        <v>5000.0</v>
      </c>
      <c r="H173" s="56">
        <v>0.0</v>
      </c>
      <c r="I173" s="56">
        <v>5000.0</v>
      </c>
      <c r="J173" s="56">
        <v>0.0</v>
      </c>
      <c r="K173" s="56">
        <v>0.0</v>
      </c>
      <c r="L173" s="56">
        <v>0.0</v>
      </c>
      <c r="M173" s="56">
        <v>5000.0</v>
      </c>
      <c r="N173" s="56">
        <v>5000.0</v>
      </c>
      <c r="O173" s="56"/>
      <c r="P173" s="56">
        <f t="shared" si="1"/>
        <v>30000</v>
      </c>
      <c r="Q173" s="65"/>
    </row>
    <row r="174" ht="22.5" hidden="1" customHeight="1">
      <c r="A174" s="53">
        <v>171.0</v>
      </c>
      <c r="B174" s="54" t="s">
        <v>529</v>
      </c>
      <c r="C174" s="55">
        <v>1500.0</v>
      </c>
      <c r="D174" s="56">
        <v>1500.0</v>
      </c>
      <c r="E174" s="56">
        <v>1500.0</v>
      </c>
      <c r="F174" s="56">
        <v>1500.0</v>
      </c>
      <c r="G174" s="56">
        <v>1500.0</v>
      </c>
      <c r="H174" s="56">
        <v>0.0</v>
      </c>
      <c r="I174" s="56">
        <v>0.0</v>
      </c>
      <c r="J174" s="56">
        <v>1500.0</v>
      </c>
      <c r="K174" s="56">
        <v>0.0</v>
      </c>
      <c r="L174" s="56">
        <v>0.0</v>
      </c>
      <c r="M174" s="56">
        <v>1500.0</v>
      </c>
      <c r="N174" s="56">
        <v>1500.0</v>
      </c>
      <c r="O174" s="56"/>
      <c r="P174" s="56">
        <f t="shared" si="1"/>
        <v>10500</v>
      </c>
      <c r="Q174" s="65"/>
    </row>
    <row r="175" ht="22.5" hidden="1" customHeight="1">
      <c r="A175" s="53">
        <v>172.0</v>
      </c>
      <c r="B175" s="54" t="s">
        <v>532</v>
      </c>
      <c r="C175" s="55">
        <v>2000.0</v>
      </c>
      <c r="D175" s="56">
        <v>2000.0</v>
      </c>
      <c r="E175" s="56">
        <v>2000.0</v>
      </c>
      <c r="F175" s="56">
        <v>2000.0</v>
      </c>
      <c r="G175" s="56">
        <v>2000.0</v>
      </c>
      <c r="H175" s="56">
        <v>2000.0</v>
      </c>
      <c r="I175" s="56">
        <v>2000.0</v>
      </c>
      <c r="J175" s="56">
        <v>0.0</v>
      </c>
      <c r="K175" s="56">
        <v>0.0</v>
      </c>
      <c r="L175" s="56">
        <v>0.0</v>
      </c>
      <c r="M175" s="56">
        <v>2000.0</v>
      </c>
      <c r="N175" s="56">
        <v>0.0</v>
      </c>
      <c r="O175" s="56"/>
      <c r="P175" s="56">
        <f t="shared" si="1"/>
        <v>14000</v>
      </c>
      <c r="Q175" s="65"/>
    </row>
    <row r="176" ht="22.5" hidden="1" customHeight="1">
      <c r="A176" s="53">
        <v>173.0</v>
      </c>
      <c r="B176" s="54" t="s">
        <v>535</v>
      </c>
      <c r="C176" s="55">
        <v>700.0</v>
      </c>
      <c r="D176" s="56">
        <v>700.0</v>
      </c>
      <c r="E176" s="56">
        <v>700.0</v>
      </c>
      <c r="F176" s="56">
        <v>700.0</v>
      </c>
      <c r="G176" s="56">
        <v>700.0</v>
      </c>
      <c r="H176" s="56">
        <v>0.0</v>
      </c>
      <c r="I176" s="56">
        <v>700.0</v>
      </c>
      <c r="J176" s="56">
        <v>0.0</v>
      </c>
      <c r="K176" s="56">
        <v>0.0</v>
      </c>
      <c r="L176" s="56">
        <v>700.0</v>
      </c>
      <c r="M176" s="56">
        <v>0.0</v>
      </c>
      <c r="N176" s="56">
        <v>700.0</v>
      </c>
      <c r="O176" s="56"/>
      <c r="P176" s="56">
        <f t="shared" si="1"/>
        <v>4900</v>
      </c>
      <c r="Q176" s="65"/>
    </row>
    <row r="177" ht="22.5" customHeight="1">
      <c r="A177" s="53">
        <v>174.0</v>
      </c>
      <c r="B177" s="54" t="s">
        <v>538</v>
      </c>
      <c r="C177" s="55">
        <v>3500.0</v>
      </c>
      <c r="D177" s="56">
        <v>3500.0</v>
      </c>
      <c r="E177" s="56">
        <v>3500.0</v>
      </c>
      <c r="F177" s="56">
        <v>0.0</v>
      </c>
      <c r="G177" s="56">
        <v>0.0</v>
      </c>
      <c r="H177" s="56">
        <v>0.0</v>
      </c>
      <c r="I177" s="56">
        <v>0.0</v>
      </c>
      <c r="J177" s="56">
        <v>0.0</v>
      </c>
      <c r="K177" s="56">
        <v>0.0</v>
      </c>
      <c r="L177" s="56">
        <v>3500.0</v>
      </c>
      <c r="M177" s="56">
        <v>3500.0</v>
      </c>
      <c r="N177" s="56">
        <v>3500.0</v>
      </c>
      <c r="O177" s="56"/>
      <c r="P177" s="56">
        <f t="shared" si="1"/>
        <v>17500</v>
      </c>
      <c r="Q177" s="65"/>
    </row>
    <row r="178" ht="22.5" hidden="1" customHeight="1">
      <c r="A178" s="53">
        <v>175.0</v>
      </c>
      <c r="B178" s="54" t="s">
        <v>541</v>
      </c>
      <c r="C178" s="55">
        <v>1000.0</v>
      </c>
      <c r="D178" s="56">
        <v>1000.0</v>
      </c>
      <c r="E178" s="56">
        <v>1000.0</v>
      </c>
      <c r="F178" s="56">
        <v>1000.0</v>
      </c>
      <c r="G178" s="56">
        <v>1000.0</v>
      </c>
      <c r="H178" s="56">
        <v>1000.0</v>
      </c>
      <c r="I178" s="56">
        <v>1000.0</v>
      </c>
      <c r="J178" s="56">
        <v>0.0</v>
      </c>
      <c r="K178" s="56">
        <v>0.0</v>
      </c>
      <c r="L178" s="56">
        <v>1000.0</v>
      </c>
      <c r="M178" s="56">
        <v>1000.0</v>
      </c>
      <c r="N178" s="56">
        <v>1000.0</v>
      </c>
      <c r="O178" s="56"/>
      <c r="P178" s="56">
        <f t="shared" si="1"/>
        <v>9000</v>
      </c>
      <c r="Q178" s="65"/>
    </row>
    <row r="179" ht="22.5" hidden="1" customHeight="1">
      <c r="A179" s="53">
        <v>176.0</v>
      </c>
      <c r="B179" s="54" t="s">
        <v>544</v>
      </c>
      <c r="C179" s="55">
        <v>2200.0</v>
      </c>
      <c r="D179" s="56">
        <v>2200.0</v>
      </c>
      <c r="E179" s="56">
        <v>2200.0</v>
      </c>
      <c r="F179" s="56">
        <v>0.0</v>
      </c>
      <c r="G179" s="56">
        <v>2200.0</v>
      </c>
      <c r="H179" s="56">
        <v>2200.0</v>
      </c>
      <c r="I179" s="56">
        <v>0.0</v>
      </c>
      <c r="J179" s="56">
        <v>0.0</v>
      </c>
      <c r="K179" s="56">
        <v>0.0</v>
      </c>
      <c r="L179" s="56">
        <v>2200.0</v>
      </c>
      <c r="M179" s="56">
        <v>2200.0</v>
      </c>
      <c r="N179" s="56">
        <v>2200.0</v>
      </c>
      <c r="O179" s="56"/>
      <c r="P179" s="56">
        <f t="shared" si="1"/>
        <v>15400</v>
      </c>
      <c r="Q179" s="65"/>
    </row>
    <row r="180" ht="22.5" customHeight="1">
      <c r="A180" s="53">
        <v>177.0</v>
      </c>
      <c r="B180" s="54" t="s">
        <v>547</v>
      </c>
      <c r="C180" s="55">
        <v>400.0</v>
      </c>
      <c r="D180" s="56">
        <v>400.0</v>
      </c>
      <c r="E180" s="56">
        <v>400.0</v>
      </c>
      <c r="F180" s="56">
        <v>400.0</v>
      </c>
      <c r="G180" s="56">
        <v>0.0</v>
      </c>
      <c r="H180" s="56">
        <v>400.0</v>
      </c>
      <c r="I180" s="56">
        <v>400.0</v>
      </c>
      <c r="J180" s="56">
        <v>400.0</v>
      </c>
      <c r="K180" s="56">
        <v>0.0</v>
      </c>
      <c r="L180" s="56">
        <v>400.0</v>
      </c>
      <c r="M180" s="56">
        <v>400.0</v>
      </c>
      <c r="N180" s="56">
        <v>400.0</v>
      </c>
      <c r="O180" s="56"/>
      <c r="P180" s="56">
        <f t="shared" si="1"/>
        <v>3600</v>
      </c>
      <c r="Q180" s="65"/>
    </row>
    <row r="181" ht="22.5" hidden="1" customHeight="1">
      <c r="A181" s="53">
        <v>178.0</v>
      </c>
      <c r="B181" s="54" t="s">
        <v>550</v>
      </c>
      <c r="C181" s="55">
        <v>1200.0</v>
      </c>
      <c r="D181" s="56">
        <v>1200.0</v>
      </c>
      <c r="E181" s="56">
        <v>1200.0</v>
      </c>
      <c r="F181" s="56">
        <v>0.0</v>
      </c>
      <c r="G181" s="56">
        <v>1200.0</v>
      </c>
      <c r="H181" s="56">
        <v>1200.0</v>
      </c>
      <c r="I181" s="56">
        <v>0.0</v>
      </c>
      <c r="J181" s="56">
        <v>0.0</v>
      </c>
      <c r="K181" s="56">
        <v>0.0</v>
      </c>
      <c r="L181" s="56">
        <v>0.0</v>
      </c>
      <c r="M181" s="56">
        <v>1200.0</v>
      </c>
      <c r="N181" s="56">
        <v>1200.0</v>
      </c>
      <c r="O181" s="56"/>
      <c r="P181" s="56">
        <f t="shared" si="1"/>
        <v>7200</v>
      </c>
      <c r="Q181" s="65"/>
    </row>
    <row r="182" ht="22.5" customHeight="1">
      <c r="A182" s="53">
        <v>179.0</v>
      </c>
      <c r="B182" s="54" t="s">
        <v>553</v>
      </c>
      <c r="C182" s="55">
        <v>4000.0</v>
      </c>
      <c r="D182" s="56">
        <v>4000.0</v>
      </c>
      <c r="E182" s="56">
        <v>4000.0</v>
      </c>
      <c r="F182" s="56">
        <v>4000.0</v>
      </c>
      <c r="G182" s="56">
        <v>0.0</v>
      </c>
      <c r="H182" s="56">
        <v>4000.0</v>
      </c>
      <c r="I182" s="56">
        <v>0.0</v>
      </c>
      <c r="J182" s="56">
        <v>4000.0</v>
      </c>
      <c r="K182" s="56">
        <v>4000.0</v>
      </c>
      <c r="L182" s="56">
        <v>4000.0</v>
      </c>
      <c r="M182" s="56">
        <v>4000.0</v>
      </c>
      <c r="N182" s="56">
        <v>4000.0</v>
      </c>
      <c r="O182" s="56"/>
      <c r="P182" s="56">
        <f t="shared" si="1"/>
        <v>36000</v>
      </c>
      <c r="Q182" s="65"/>
    </row>
    <row r="183" ht="22.5" hidden="1" customHeight="1">
      <c r="A183" s="53">
        <v>180.0</v>
      </c>
      <c r="B183" s="54" t="s">
        <v>556</v>
      </c>
      <c r="C183" s="55">
        <v>1500.0</v>
      </c>
      <c r="D183" s="56">
        <v>1500.0</v>
      </c>
      <c r="E183" s="56">
        <v>1500.0</v>
      </c>
      <c r="F183" s="56">
        <v>1500.0</v>
      </c>
      <c r="G183" s="56">
        <v>1500.0</v>
      </c>
      <c r="H183" s="56">
        <v>0.0</v>
      </c>
      <c r="I183" s="56">
        <v>1500.0</v>
      </c>
      <c r="J183" s="56">
        <v>0.0</v>
      </c>
      <c r="K183" s="56">
        <v>1500.0</v>
      </c>
      <c r="L183" s="56">
        <v>0.0</v>
      </c>
      <c r="M183" s="56">
        <v>1500.0</v>
      </c>
      <c r="N183" s="56">
        <v>1500.0</v>
      </c>
      <c r="O183" s="56"/>
      <c r="P183" s="56">
        <f t="shared" si="1"/>
        <v>12000</v>
      </c>
      <c r="Q183" s="65"/>
    </row>
    <row r="184" ht="22.5" hidden="1" customHeight="1">
      <c r="A184" s="53">
        <v>181.0</v>
      </c>
      <c r="B184" s="54" t="s">
        <v>559</v>
      </c>
      <c r="C184" s="55">
        <v>2500.0</v>
      </c>
      <c r="D184" s="56">
        <v>2500.0</v>
      </c>
      <c r="E184" s="56">
        <v>2500.0</v>
      </c>
      <c r="F184" s="56">
        <v>2500.0</v>
      </c>
      <c r="G184" s="56">
        <v>2500.0</v>
      </c>
      <c r="H184" s="56">
        <v>2500.0</v>
      </c>
      <c r="I184" s="56">
        <v>2500.0</v>
      </c>
      <c r="J184" s="56">
        <v>0.0</v>
      </c>
      <c r="K184" s="56">
        <v>0.0</v>
      </c>
      <c r="L184" s="56">
        <v>2500.0</v>
      </c>
      <c r="M184" s="56">
        <v>2500.0</v>
      </c>
      <c r="N184" s="56">
        <v>2500.0</v>
      </c>
      <c r="O184" s="56"/>
      <c r="P184" s="56">
        <f t="shared" si="1"/>
        <v>22500</v>
      </c>
      <c r="Q184" s="65"/>
    </row>
    <row r="185" ht="22.5" hidden="1" customHeight="1">
      <c r="A185" s="53">
        <v>182.0</v>
      </c>
      <c r="B185" s="54" t="s">
        <v>562</v>
      </c>
      <c r="C185" s="55">
        <v>5000.0</v>
      </c>
      <c r="D185" s="56">
        <v>5000.0</v>
      </c>
      <c r="E185" s="56">
        <v>5000.0</v>
      </c>
      <c r="F185" s="56">
        <v>5000.0</v>
      </c>
      <c r="G185" s="56">
        <v>5000.0</v>
      </c>
      <c r="H185" s="56">
        <v>5000.0</v>
      </c>
      <c r="I185" s="56">
        <v>5000.0</v>
      </c>
      <c r="J185" s="56">
        <v>5000.0</v>
      </c>
      <c r="K185" s="56">
        <v>5000.0</v>
      </c>
      <c r="L185" s="56">
        <v>0.0</v>
      </c>
      <c r="M185" s="56">
        <v>5000.0</v>
      </c>
      <c r="N185" s="56">
        <v>5000.0</v>
      </c>
      <c r="O185" s="56"/>
      <c r="P185" s="56">
        <f t="shared" si="1"/>
        <v>50000</v>
      </c>
      <c r="Q185" s="65"/>
    </row>
    <row r="186" ht="22.5" customHeight="1">
      <c r="A186" s="53">
        <v>183.0</v>
      </c>
      <c r="B186" s="54" t="s">
        <v>565</v>
      </c>
      <c r="C186" s="55">
        <v>800.0</v>
      </c>
      <c r="D186" s="56">
        <v>800.0</v>
      </c>
      <c r="E186" s="56">
        <v>800.0</v>
      </c>
      <c r="F186" s="56">
        <v>800.0</v>
      </c>
      <c r="G186" s="56">
        <v>0.0</v>
      </c>
      <c r="H186" s="56">
        <v>800.0</v>
      </c>
      <c r="I186" s="56">
        <v>800.0</v>
      </c>
      <c r="J186" s="56">
        <v>800.0</v>
      </c>
      <c r="K186" s="56">
        <v>800.0</v>
      </c>
      <c r="L186" s="56">
        <v>800.0</v>
      </c>
      <c r="M186" s="56">
        <v>800.0</v>
      </c>
      <c r="N186" s="56">
        <v>800.0</v>
      </c>
      <c r="O186" s="56"/>
      <c r="P186" s="56">
        <f t="shared" si="1"/>
        <v>8000</v>
      </c>
      <c r="Q186" s="65"/>
    </row>
    <row r="187" ht="22.5" hidden="1" customHeight="1">
      <c r="A187" s="53">
        <v>184.0</v>
      </c>
      <c r="B187" s="54" t="s">
        <v>568</v>
      </c>
      <c r="C187" s="55">
        <v>1000.0</v>
      </c>
      <c r="D187" s="56">
        <v>1000.0</v>
      </c>
      <c r="E187" s="56">
        <v>1000.0</v>
      </c>
      <c r="F187" s="56">
        <v>1000.0</v>
      </c>
      <c r="G187" s="56">
        <v>1000.0</v>
      </c>
      <c r="H187" s="56">
        <v>1000.0</v>
      </c>
      <c r="I187" s="56">
        <v>1000.0</v>
      </c>
      <c r="J187" s="56">
        <v>1000.0</v>
      </c>
      <c r="K187" s="56">
        <v>1000.0</v>
      </c>
      <c r="L187" s="56">
        <v>1000.0</v>
      </c>
      <c r="M187" s="56">
        <v>1000.0</v>
      </c>
      <c r="N187" s="56">
        <v>1000.0</v>
      </c>
      <c r="O187" s="56"/>
      <c r="P187" s="56">
        <f t="shared" si="1"/>
        <v>11000</v>
      </c>
      <c r="Q187" s="65"/>
    </row>
    <row r="188" ht="22.5" hidden="1" customHeight="1">
      <c r="A188" s="53">
        <v>185.0</v>
      </c>
      <c r="B188" s="54" t="s">
        <v>571</v>
      </c>
      <c r="C188" s="55">
        <v>3000.0</v>
      </c>
      <c r="D188" s="56">
        <v>3000.0</v>
      </c>
      <c r="E188" s="56">
        <v>3000.0</v>
      </c>
      <c r="F188" s="56">
        <v>3000.0</v>
      </c>
      <c r="G188" s="56">
        <v>3000.0</v>
      </c>
      <c r="H188" s="56">
        <v>3000.0</v>
      </c>
      <c r="I188" s="56">
        <v>3000.0</v>
      </c>
      <c r="J188" s="56">
        <v>3000.0</v>
      </c>
      <c r="K188" s="56">
        <v>3000.0</v>
      </c>
      <c r="L188" s="56">
        <v>3000.0</v>
      </c>
      <c r="M188" s="56">
        <v>3000.0</v>
      </c>
      <c r="N188" s="56">
        <v>3000.0</v>
      </c>
      <c r="O188" s="56"/>
      <c r="P188" s="56">
        <f t="shared" si="1"/>
        <v>33000</v>
      </c>
      <c r="Q188" s="65"/>
    </row>
    <row r="189" ht="22.5" hidden="1" customHeight="1">
      <c r="A189" s="53">
        <v>186.0</v>
      </c>
      <c r="B189" s="54" t="s">
        <v>574</v>
      </c>
      <c r="C189" s="55">
        <v>1200.0</v>
      </c>
      <c r="D189" s="56">
        <v>1200.0</v>
      </c>
      <c r="E189" s="56">
        <v>1200.0</v>
      </c>
      <c r="F189" s="56">
        <v>1200.0</v>
      </c>
      <c r="G189" s="56">
        <v>1200.0</v>
      </c>
      <c r="H189" s="56">
        <v>0.0</v>
      </c>
      <c r="I189" s="56">
        <v>1200.0</v>
      </c>
      <c r="J189" s="56">
        <v>0.0</v>
      </c>
      <c r="K189" s="56">
        <v>1200.0</v>
      </c>
      <c r="L189" s="56">
        <v>0.0</v>
      </c>
      <c r="M189" s="56">
        <v>0.0</v>
      </c>
      <c r="N189" s="56">
        <v>1200.0</v>
      </c>
      <c r="O189" s="56"/>
      <c r="P189" s="56">
        <f t="shared" si="1"/>
        <v>8400</v>
      </c>
      <c r="Q189" s="65"/>
    </row>
    <row r="190" ht="22.5" hidden="1" customHeight="1">
      <c r="A190" s="53">
        <v>187.0</v>
      </c>
      <c r="B190" s="54" t="s">
        <v>577</v>
      </c>
      <c r="C190" s="55">
        <v>2000.0</v>
      </c>
      <c r="D190" s="56">
        <v>2000.0</v>
      </c>
      <c r="E190" s="56">
        <v>2000.0</v>
      </c>
      <c r="F190" s="56">
        <v>2000.0</v>
      </c>
      <c r="G190" s="56">
        <v>2000.0</v>
      </c>
      <c r="H190" s="56">
        <v>2000.0</v>
      </c>
      <c r="I190" s="56">
        <v>0.0</v>
      </c>
      <c r="J190" s="56">
        <v>2000.0</v>
      </c>
      <c r="K190" s="56">
        <v>2000.0</v>
      </c>
      <c r="L190" s="56">
        <v>2000.0</v>
      </c>
      <c r="M190" s="56">
        <v>2000.0</v>
      </c>
      <c r="N190" s="56">
        <v>0.0</v>
      </c>
      <c r="O190" s="56"/>
      <c r="P190" s="56">
        <f t="shared" si="1"/>
        <v>18000</v>
      </c>
      <c r="Q190" s="65"/>
    </row>
    <row r="191" ht="22.5" hidden="1" customHeight="1">
      <c r="A191" s="53">
        <v>188.0</v>
      </c>
      <c r="B191" s="54" t="s">
        <v>580</v>
      </c>
      <c r="C191" s="55">
        <v>600.0</v>
      </c>
      <c r="D191" s="56">
        <v>600.0</v>
      </c>
      <c r="E191" s="56">
        <v>600.0</v>
      </c>
      <c r="F191" s="56">
        <v>600.0</v>
      </c>
      <c r="G191" s="56">
        <v>600.0</v>
      </c>
      <c r="H191" s="56">
        <v>600.0</v>
      </c>
      <c r="I191" s="56">
        <v>600.0</v>
      </c>
      <c r="J191" s="56">
        <v>600.0</v>
      </c>
      <c r="K191" s="56">
        <v>600.0</v>
      </c>
      <c r="L191" s="56">
        <v>600.0</v>
      </c>
      <c r="M191" s="56">
        <v>0.0</v>
      </c>
      <c r="N191" s="56">
        <v>0.0</v>
      </c>
      <c r="O191" s="56"/>
      <c r="P191" s="56">
        <f t="shared" si="1"/>
        <v>5400</v>
      </c>
      <c r="Q191" s="65"/>
    </row>
    <row r="192" ht="22.5" hidden="1" customHeight="1">
      <c r="A192" s="53">
        <v>189.0</v>
      </c>
      <c r="B192" s="54" t="s">
        <v>583</v>
      </c>
      <c r="C192" s="55">
        <v>4500.0</v>
      </c>
      <c r="D192" s="56">
        <v>4500.0</v>
      </c>
      <c r="E192" s="56">
        <v>4500.0</v>
      </c>
      <c r="F192" s="56">
        <v>0.0</v>
      </c>
      <c r="G192" s="56">
        <v>4500.0</v>
      </c>
      <c r="H192" s="56">
        <v>0.0</v>
      </c>
      <c r="I192" s="56">
        <v>0.0</v>
      </c>
      <c r="J192" s="56">
        <v>4500.0</v>
      </c>
      <c r="K192" s="56">
        <v>4500.0</v>
      </c>
      <c r="L192" s="56">
        <v>4500.0</v>
      </c>
      <c r="M192" s="56">
        <v>0.0</v>
      </c>
      <c r="N192" s="56">
        <v>0.0</v>
      </c>
      <c r="O192" s="56"/>
      <c r="P192" s="56">
        <f t="shared" si="1"/>
        <v>27000</v>
      </c>
      <c r="Q192" s="65"/>
    </row>
    <row r="193" ht="22.5" customHeight="1">
      <c r="A193" s="53">
        <v>190.0</v>
      </c>
      <c r="B193" s="54" t="s">
        <v>586</v>
      </c>
      <c r="C193" s="55">
        <v>1000.0</v>
      </c>
      <c r="D193" s="56">
        <v>1000.0</v>
      </c>
      <c r="E193" s="56">
        <v>1000.0</v>
      </c>
      <c r="F193" s="56">
        <v>1000.0</v>
      </c>
      <c r="G193" s="56">
        <v>0.0</v>
      </c>
      <c r="H193" s="56">
        <v>0.0</v>
      </c>
      <c r="I193" s="56">
        <v>1000.0</v>
      </c>
      <c r="J193" s="56">
        <v>1000.0</v>
      </c>
      <c r="K193" s="56">
        <v>0.0</v>
      </c>
      <c r="L193" s="56">
        <v>1000.0</v>
      </c>
      <c r="M193" s="56">
        <v>1000.0</v>
      </c>
      <c r="N193" s="56">
        <v>1000.0</v>
      </c>
      <c r="O193" s="56"/>
      <c r="P193" s="56">
        <f t="shared" si="1"/>
        <v>8000</v>
      </c>
      <c r="Q193" s="65"/>
    </row>
    <row r="194" ht="22.5" customHeight="1">
      <c r="A194" s="53">
        <v>191.0</v>
      </c>
      <c r="B194" s="54" t="s">
        <v>589</v>
      </c>
      <c r="C194" s="55">
        <v>2500.0</v>
      </c>
      <c r="D194" s="56">
        <v>2500.0</v>
      </c>
      <c r="E194" s="56">
        <v>2500.0</v>
      </c>
      <c r="F194" s="56">
        <v>0.0</v>
      </c>
      <c r="G194" s="56">
        <v>0.0</v>
      </c>
      <c r="H194" s="56">
        <v>2500.0</v>
      </c>
      <c r="I194" s="56">
        <v>0.0</v>
      </c>
      <c r="J194" s="56">
        <v>2500.0</v>
      </c>
      <c r="K194" s="56">
        <v>0.0</v>
      </c>
      <c r="L194" s="56">
        <v>0.0</v>
      </c>
      <c r="M194" s="56">
        <v>0.0</v>
      </c>
      <c r="N194" s="56">
        <v>2500.0</v>
      </c>
      <c r="O194" s="56"/>
      <c r="P194" s="56">
        <f t="shared" si="1"/>
        <v>12500</v>
      </c>
      <c r="Q194" s="65"/>
    </row>
    <row r="195" ht="22.5" customHeight="1">
      <c r="A195" s="53">
        <v>192.0</v>
      </c>
      <c r="B195" s="54" t="s">
        <v>592</v>
      </c>
      <c r="C195" s="55">
        <v>5000.0</v>
      </c>
      <c r="D195" s="56">
        <v>5000.0</v>
      </c>
      <c r="E195" s="56">
        <v>5000.0</v>
      </c>
      <c r="F195" s="56">
        <v>5000.0</v>
      </c>
      <c r="G195" s="56">
        <v>0.0</v>
      </c>
      <c r="H195" s="56">
        <v>0.0</v>
      </c>
      <c r="I195" s="56">
        <v>5000.0</v>
      </c>
      <c r="J195" s="56">
        <v>0.0</v>
      </c>
      <c r="K195" s="56">
        <v>5000.0</v>
      </c>
      <c r="L195" s="56">
        <v>5000.0</v>
      </c>
      <c r="M195" s="56">
        <v>0.0</v>
      </c>
      <c r="N195" s="56">
        <v>0.0</v>
      </c>
      <c r="O195" s="56"/>
      <c r="P195" s="56">
        <f t="shared" si="1"/>
        <v>30000</v>
      </c>
      <c r="Q195" s="65"/>
    </row>
    <row r="196" ht="22.5" hidden="1" customHeight="1">
      <c r="A196" s="53">
        <v>193.0</v>
      </c>
      <c r="B196" s="54" t="s">
        <v>595</v>
      </c>
      <c r="C196" s="55">
        <v>1500.0</v>
      </c>
      <c r="D196" s="56">
        <v>1500.0</v>
      </c>
      <c r="E196" s="56">
        <v>1500.0</v>
      </c>
      <c r="F196" s="56">
        <v>0.0</v>
      </c>
      <c r="H196" s="56">
        <v>0.0</v>
      </c>
      <c r="I196" s="56">
        <v>1500.0</v>
      </c>
      <c r="J196" s="56">
        <v>1500.0</v>
      </c>
      <c r="K196" s="56">
        <v>0.0</v>
      </c>
      <c r="L196" s="56">
        <v>0.0</v>
      </c>
      <c r="M196" s="56">
        <v>0.0</v>
      </c>
      <c r="N196" s="56">
        <v>0.0</v>
      </c>
      <c r="O196" s="56">
        <v>0.0</v>
      </c>
      <c r="P196" s="56">
        <f t="shared" si="1"/>
        <v>6000</v>
      </c>
      <c r="Q196" s="65"/>
    </row>
    <row r="197" ht="22.5" hidden="1" customHeight="1">
      <c r="A197" s="53">
        <v>194.0</v>
      </c>
      <c r="B197" s="54" t="s">
        <v>598</v>
      </c>
      <c r="C197" s="55">
        <v>700.0</v>
      </c>
      <c r="D197" s="56">
        <v>700.0</v>
      </c>
      <c r="E197" s="56">
        <v>700.0</v>
      </c>
      <c r="F197" s="56">
        <v>0.0</v>
      </c>
      <c r="H197" s="56">
        <v>0.0</v>
      </c>
      <c r="I197" s="56">
        <v>0.0</v>
      </c>
      <c r="J197" s="56">
        <v>0.0</v>
      </c>
      <c r="K197" s="56">
        <v>700.0</v>
      </c>
      <c r="L197" s="56">
        <v>700.0</v>
      </c>
      <c r="M197" s="56">
        <v>700.0</v>
      </c>
      <c r="N197" s="56">
        <v>700.0</v>
      </c>
      <c r="O197" s="56"/>
      <c r="P197" s="56">
        <f t="shared" si="1"/>
        <v>4200</v>
      </c>
      <c r="Q197" s="65"/>
    </row>
    <row r="198" ht="22.5" hidden="1" customHeight="1">
      <c r="A198" s="53">
        <v>195.0</v>
      </c>
      <c r="B198" s="54" t="s">
        <v>601</v>
      </c>
      <c r="C198" s="55">
        <v>3000.0</v>
      </c>
      <c r="D198" s="56">
        <v>3000.0</v>
      </c>
      <c r="E198" s="56">
        <v>3000.0</v>
      </c>
      <c r="F198" s="56">
        <v>3000.0</v>
      </c>
      <c r="H198" s="56">
        <v>0.0</v>
      </c>
      <c r="I198" s="56">
        <v>3000.0</v>
      </c>
      <c r="J198" s="56">
        <v>3000.0</v>
      </c>
      <c r="K198" s="56">
        <v>0.0</v>
      </c>
      <c r="L198" s="56">
        <v>3000.0</v>
      </c>
      <c r="M198" s="56">
        <v>0.0</v>
      </c>
      <c r="N198" s="56">
        <v>0.0</v>
      </c>
      <c r="O198" s="56"/>
      <c r="P198" s="56">
        <f t="shared" si="1"/>
        <v>18000</v>
      </c>
      <c r="Q198" s="65"/>
    </row>
    <row r="199" ht="22.5" customHeight="1">
      <c r="A199" s="53">
        <v>196.0</v>
      </c>
      <c r="B199" s="54" t="s">
        <v>604</v>
      </c>
      <c r="C199" s="55">
        <v>1200.0</v>
      </c>
      <c r="D199" s="56">
        <v>1200.0</v>
      </c>
      <c r="E199" s="56">
        <v>1200.0</v>
      </c>
      <c r="F199" s="56">
        <v>0.0</v>
      </c>
      <c r="G199" s="56">
        <v>0.0</v>
      </c>
      <c r="H199" s="56">
        <v>1200.0</v>
      </c>
      <c r="I199" s="56">
        <v>0.0</v>
      </c>
      <c r="J199" s="56">
        <v>1200.0</v>
      </c>
      <c r="K199" s="56">
        <v>1200.0</v>
      </c>
      <c r="L199" s="56">
        <v>0.0</v>
      </c>
      <c r="M199" s="56">
        <v>1200.0</v>
      </c>
      <c r="N199" s="56">
        <v>0.0</v>
      </c>
      <c r="O199" s="56"/>
      <c r="P199" s="56">
        <f t="shared" si="1"/>
        <v>7200</v>
      </c>
      <c r="Q199" s="65"/>
    </row>
    <row r="200" ht="22.5" hidden="1" customHeight="1">
      <c r="A200" s="53">
        <v>197.0</v>
      </c>
      <c r="B200" s="54" t="s">
        <v>607</v>
      </c>
      <c r="C200" s="55">
        <v>2000.0</v>
      </c>
      <c r="D200" s="56">
        <v>2000.0</v>
      </c>
      <c r="E200" s="56">
        <v>2000.0</v>
      </c>
      <c r="F200" s="56">
        <v>2000.0</v>
      </c>
      <c r="G200" s="56">
        <v>700.0</v>
      </c>
      <c r="H200" s="56">
        <v>2000.0</v>
      </c>
      <c r="I200" s="56">
        <v>0.0</v>
      </c>
      <c r="J200" s="56">
        <v>0.0</v>
      </c>
      <c r="K200" s="56">
        <v>0.0</v>
      </c>
      <c r="L200" s="56">
        <v>2000.0</v>
      </c>
      <c r="M200" s="56">
        <v>2000.0</v>
      </c>
      <c r="N200" s="56">
        <v>2000.0</v>
      </c>
      <c r="O200" s="56"/>
      <c r="P200" s="56">
        <f t="shared" si="1"/>
        <v>14700</v>
      </c>
      <c r="Q200" s="65"/>
    </row>
    <row r="201" ht="22.5" hidden="1" customHeight="1">
      <c r="A201" s="53">
        <v>198.0</v>
      </c>
      <c r="B201" s="54" t="s">
        <v>610</v>
      </c>
      <c r="C201" s="55">
        <v>900.0</v>
      </c>
      <c r="D201" s="56">
        <v>900.0</v>
      </c>
      <c r="E201" s="56">
        <v>900.0</v>
      </c>
      <c r="F201" s="56">
        <v>0.0</v>
      </c>
      <c r="G201" s="56">
        <v>3000.0</v>
      </c>
      <c r="H201" s="56">
        <v>900.0</v>
      </c>
      <c r="I201" s="56">
        <v>0.0</v>
      </c>
      <c r="J201" s="56">
        <v>0.0</v>
      </c>
      <c r="K201" s="56">
        <v>1800.0</v>
      </c>
      <c r="L201" s="56">
        <v>0.0</v>
      </c>
      <c r="M201" s="56">
        <v>0.0</v>
      </c>
      <c r="N201" s="56">
        <v>900.0</v>
      </c>
      <c r="O201" s="56"/>
      <c r="P201" s="56">
        <f t="shared" si="1"/>
        <v>8400</v>
      </c>
      <c r="Q201" s="65"/>
    </row>
    <row r="202" ht="22.5" hidden="1" customHeight="1">
      <c r="A202" s="53">
        <v>199.0</v>
      </c>
      <c r="B202" s="54" t="s">
        <v>613</v>
      </c>
      <c r="C202" s="55">
        <v>4000.0</v>
      </c>
      <c r="D202" s="56">
        <v>4000.0</v>
      </c>
      <c r="E202" s="56">
        <v>4000.0</v>
      </c>
      <c r="F202" s="56">
        <v>0.0</v>
      </c>
      <c r="G202" s="56">
        <v>4000.0</v>
      </c>
      <c r="H202" s="56">
        <v>4000.0</v>
      </c>
      <c r="I202" s="56">
        <v>4000.0</v>
      </c>
      <c r="J202" s="56">
        <v>0.0</v>
      </c>
      <c r="K202" s="56">
        <v>8000.0</v>
      </c>
      <c r="L202" s="56">
        <v>4000.0</v>
      </c>
      <c r="M202" s="56">
        <v>4000.0</v>
      </c>
      <c r="N202" s="56">
        <v>4000.0</v>
      </c>
      <c r="O202" s="56"/>
      <c r="P202" s="56">
        <f t="shared" si="1"/>
        <v>40000</v>
      </c>
      <c r="Q202" s="65"/>
    </row>
    <row r="203" ht="22.5" hidden="1" customHeight="1">
      <c r="A203" s="53">
        <v>200.0</v>
      </c>
      <c r="B203" s="54" t="s">
        <v>616</v>
      </c>
      <c r="C203" s="55">
        <v>500.0</v>
      </c>
      <c r="D203" s="56">
        <v>500.0</v>
      </c>
      <c r="E203" s="56">
        <v>500.0</v>
      </c>
      <c r="F203" s="56">
        <v>500.0</v>
      </c>
      <c r="G203" s="56">
        <v>500.0</v>
      </c>
      <c r="H203" s="56">
        <v>500.0</v>
      </c>
      <c r="I203" s="56">
        <v>500.0</v>
      </c>
      <c r="J203" s="56">
        <v>500.0</v>
      </c>
      <c r="K203" s="56">
        <v>0.0</v>
      </c>
      <c r="L203" s="56">
        <v>0.0</v>
      </c>
      <c r="M203" s="56">
        <v>0.0</v>
      </c>
      <c r="N203" s="56">
        <v>2000.0</v>
      </c>
      <c r="O203" s="56"/>
      <c r="P203" s="56">
        <f t="shared" si="1"/>
        <v>5500</v>
      </c>
      <c r="Q203" s="65"/>
    </row>
    <row r="204" ht="22.5" customHeight="1">
      <c r="A204" s="65"/>
      <c r="B204" s="54"/>
      <c r="C204" s="66"/>
      <c r="D204" s="67">
        <f>SUM(Charity[Jan])</f>
        <v>320100</v>
      </c>
      <c r="E204" s="67">
        <f>Sum(Charity[Feb])</f>
        <v>358900</v>
      </c>
      <c r="F204" s="67">
        <f>SUM(Charity[Mar])</f>
        <v>276800</v>
      </c>
      <c r="G204" s="67">
        <f>SUM(Charity[Apr])</f>
        <v>269100</v>
      </c>
      <c r="H204" s="67">
        <f>SUM(Charity[May])</f>
        <v>240000</v>
      </c>
      <c r="I204" s="67">
        <f>SUM(Charity[Jun])</f>
        <v>224800</v>
      </c>
      <c r="J204" s="67">
        <f>SUM(Charity[Jul])</f>
        <v>275400</v>
      </c>
      <c r="K204" s="67">
        <f>SUM(Charity[Aug])</f>
        <v>234100</v>
      </c>
      <c r="L204" s="67">
        <f>SUM(Charity[Sep])</f>
        <v>244500</v>
      </c>
      <c r="M204" s="67">
        <f>SUM(Charity[Oct])</f>
        <v>283500</v>
      </c>
      <c r="N204" s="67">
        <f>SUM(Charity[Nov])</f>
        <v>314500</v>
      </c>
      <c r="O204" s="67">
        <f>SUM(Charity[Dec])</f>
        <v>0</v>
      </c>
      <c r="P204" s="68">
        <f>SUM(Charity[Total])</f>
        <v>3041700</v>
      </c>
      <c r="Q204" s="69"/>
    </row>
    <row r="205" ht="22.5" customHeight="1">
      <c r="A205" s="8"/>
      <c r="B205" s="70"/>
      <c r="C205" s="71" t="s">
        <v>632</v>
      </c>
      <c r="D205" s="72">
        <v>200000.0</v>
      </c>
      <c r="E205" s="72">
        <v>625000.0</v>
      </c>
      <c r="F205" s="72">
        <v>175000.0</v>
      </c>
      <c r="G205" s="72">
        <v>175000.0</v>
      </c>
      <c r="H205" s="73">
        <v>51402.0</v>
      </c>
      <c r="I205" s="73">
        <v>58263.0</v>
      </c>
      <c r="J205" s="73">
        <v>48782.0</v>
      </c>
      <c r="K205" s="73">
        <v>50160.0</v>
      </c>
      <c r="L205" s="73">
        <v>62621.0</v>
      </c>
      <c r="M205" s="73">
        <v>55230.0</v>
      </c>
      <c r="N205" s="73">
        <v>45000.0</v>
      </c>
      <c r="O205" s="73">
        <v>0.0</v>
      </c>
      <c r="P205" s="74">
        <f>SUM(D205:O205)</f>
        <v>1546458</v>
      </c>
      <c r="Q205" s="75"/>
    </row>
    <row r="206" ht="22.5" customHeight="1">
      <c r="A206" s="8"/>
      <c r="B206" s="70"/>
      <c r="C206" s="71" t="s">
        <v>633</v>
      </c>
      <c r="D206" s="73">
        <f>Charity[[#TOTALS],[Jan]]-D205</f>
        <v>120100</v>
      </c>
      <c r="E206" s="73">
        <f>Charity[[#TOTALS],[Feb]]+ D206 -E205</f>
        <v>-146000</v>
      </c>
      <c r="F206" s="73">
        <f>Charity[[#TOTALS],[Feb]]+ E206 -F205</f>
        <v>37900</v>
      </c>
      <c r="G206" s="73">
        <f>Charity[[#TOTALS],[Feb]]+ F206 -G205</f>
        <v>221800</v>
      </c>
      <c r="H206" s="73">
        <f>Charity[[#TOTALS],[Feb]]+ G206 -H205</f>
        <v>529298</v>
      </c>
      <c r="I206" s="73">
        <f>Charity[[#TOTALS],[Feb]]+ H206 -I205</f>
        <v>829935</v>
      </c>
      <c r="J206" s="73">
        <f>Charity[[#TOTALS],[Feb]]+ I206 -J205</f>
        <v>1140053</v>
      </c>
      <c r="K206" s="73">
        <f>Charity[[#TOTALS],[Feb]]+ J206 -K205</f>
        <v>1448793</v>
      </c>
      <c r="L206" s="73">
        <f>Charity[[#TOTALS],[Feb]]+ K206 -L205</f>
        <v>1745072</v>
      </c>
      <c r="M206" s="73">
        <f>Charity[[#TOTALS],[Feb]]+ L206 -M205</f>
        <v>2048742</v>
      </c>
      <c r="N206" s="73">
        <f>Charity[[#TOTALS],[Feb]]+ M206 -N205</f>
        <v>2362642</v>
      </c>
      <c r="O206" s="73">
        <v>0.0</v>
      </c>
      <c r="P206" s="74">
        <f>Charity[[#TOTALS],[Total]]-P205</f>
        <v>1495242</v>
      </c>
      <c r="Q206" s="75"/>
    </row>
  </sheetData>
  <mergeCells count="1">
    <mergeCell ref="A1:P1"/>
  </mergeCells>
  <conditionalFormatting sqref="A3:P206 Q3 Q124:Q206">
    <cfRule type="cellIs" dxfId="0" priority="1" operator="equal">
      <formula>"TRUE"</formula>
    </cfRule>
  </conditionalFormatting>
  <conditionalFormatting sqref="A3:P206 Q3 Q124:Q206">
    <cfRule type="cellIs" dxfId="1" priority="2" operator="equal">
      <formula>"FALSE"</formula>
    </cfRule>
  </conditionalFormatting>
  <dataValidations>
    <dataValidation type="custom" allowBlank="1" showDropDown="1" sqref="C4:C203">
      <formula1>AND(ISNUMBER(C4),(NOT(OR(NOT(ISERROR(DATEVALUE(C4))), AND(ISNUMBER(C4), LEFT(CELL("format", C4))="D")))))</formula1>
    </dataValidation>
  </dataValidations>
  <printOptions gridLines="1" horizontalCentered="1"/>
  <pageMargins bottom="0.0" footer="0.0" header="0.0" left="0.0" right="0.0" top="0.0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36.25"/>
    <col customWidth="1" min="3" max="3" width="15.63"/>
    <col customWidth="1" min="4" max="5" width="10.13"/>
    <col customWidth="1" min="6" max="6" width="10.5"/>
    <col customWidth="1" min="7" max="7" width="10.0"/>
    <col customWidth="1" min="8" max="8" width="10.88"/>
    <col customWidth="1" min="9" max="9" width="10.25"/>
    <col customWidth="1" min="10" max="10" width="9.38"/>
    <col customWidth="1" min="11" max="11" width="10.63"/>
    <col customWidth="1" min="12" max="12" width="10.38"/>
    <col customWidth="1" min="13" max="13" width="9.88"/>
    <col customWidth="1" min="14" max="14" width="10.5"/>
    <col customWidth="1" min="15" max="15" width="10.38"/>
    <col customWidth="1" min="16" max="16" width="11.88"/>
    <col customWidth="1" min="17" max="17" width="10.75"/>
  </cols>
  <sheetData>
    <row r="1" ht="49.5" customHeight="1">
      <c r="A1" s="1" t="s">
        <v>619</v>
      </c>
      <c r="Q1" s="47"/>
    </row>
    <row r="2">
      <c r="A2" s="7"/>
      <c r="B2" s="7"/>
      <c r="C2" s="4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22.5" customHeight="1">
      <c r="A3" s="49" t="s">
        <v>4</v>
      </c>
      <c r="B3" s="50" t="s">
        <v>5</v>
      </c>
      <c r="C3" s="51" t="s">
        <v>8</v>
      </c>
      <c r="D3" s="50" t="s">
        <v>620</v>
      </c>
      <c r="E3" s="52" t="s">
        <v>621</v>
      </c>
      <c r="F3" s="52" t="s">
        <v>622</v>
      </c>
      <c r="G3" s="52" t="s">
        <v>623</v>
      </c>
      <c r="H3" s="52" t="s">
        <v>624</v>
      </c>
      <c r="I3" s="52" t="s">
        <v>625</v>
      </c>
      <c r="J3" s="52" t="s">
        <v>626</v>
      </c>
      <c r="K3" s="52" t="s">
        <v>627</v>
      </c>
      <c r="L3" s="52" t="s">
        <v>628</v>
      </c>
      <c r="M3" s="52" t="s">
        <v>629</v>
      </c>
      <c r="N3" s="52" t="s">
        <v>630</v>
      </c>
      <c r="O3" s="52" t="s">
        <v>631</v>
      </c>
      <c r="P3" s="52" t="s">
        <v>47</v>
      </c>
      <c r="Q3" s="52" t="s">
        <v>9</v>
      </c>
    </row>
    <row r="4" ht="22.5" customHeight="1">
      <c r="A4" s="53">
        <v>1.0</v>
      </c>
      <c r="B4" s="76" t="s">
        <v>634</v>
      </c>
      <c r="C4" s="56">
        <v>10000.0</v>
      </c>
      <c r="D4" s="56">
        <v>0.0</v>
      </c>
      <c r="E4" s="77">
        <v>0.0</v>
      </c>
      <c r="F4" s="77">
        <v>20000.0</v>
      </c>
      <c r="G4" s="77">
        <v>10000.0</v>
      </c>
      <c r="H4" s="77">
        <v>10000.0</v>
      </c>
      <c r="I4" s="77">
        <v>0.0</v>
      </c>
      <c r="J4" s="77">
        <v>10000.0</v>
      </c>
      <c r="K4" s="77">
        <v>10000.0</v>
      </c>
      <c r="L4" s="77">
        <v>10000.0</v>
      </c>
      <c r="M4" s="77">
        <v>10000.0</v>
      </c>
      <c r="N4" s="77">
        <v>10000.0</v>
      </c>
      <c r="O4" s="77">
        <v>10000.0</v>
      </c>
      <c r="P4" s="57">
        <f>SUM(E4:O4)</f>
        <v>100000</v>
      </c>
      <c r="Q4" s="58"/>
    </row>
    <row r="5" ht="22.5" customHeight="1">
      <c r="A5" s="53">
        <v>2.0</v>
      </c>
      <c r="B5" s="76" t="s">
        <v>635</v>
      </c>
      <c r="C5" s="56">
        <v>5000.0</v>
      </c>
      <c r="D5" s="56">
        <v>7000.0</v>
      </c>
      <c r="E5" s="77">
        <v>7000.0</v>
      </c>
      <c r="F5" s="77">
        <v>5000.0</v>
      </c>
      <c r="G5" s="77">
        <v>5000.0</v>
      </c>
      <c r="H5" s="77">
        <v>5000.0</v>
      </c>
      <c r="I5" s="77">
        <v>0.0</v>
      </c>
      <c r="J5" s="77">
        <v>5000.0</v>
      </c>
      <c r="K5" s="77">
        <v>0.0</v>
      </c>
      <c r="L5" s="77">
        <v>0.0</v>
      </c>
      <c r="M5" s="77">
        <v>5000.0</v>
      </c>
      <c r="N5" s="77">
        <v>5500.0</v>
      </c>
      <c r="O5" s="77">
        <v>0.0</v>
      </c>
      <c r="P5" s="57">
        <f t="shared" ref="P5:P6" si="1">SUM(D5:O5)</f>
        <v>44500</v>
      </c>
      <c r="Q5" s="58"/>
    </row>
    <row r="6" ht="22.5" customHeight="1">
      <c r="A6" s="53">
        <v>3.0</v>
      </c>
      <c r="B6" s="76" t="s">
        <v>636</v>
      </c>
      <c r="C6" s="56">
        <v>2000.0</v>
      </c>
      <c r="D6" s="56">
        <v>2000.0</v>
      </c>
      <c r="E6" s="77">
        <v>2000.0</v>
      </c>
      <c r="F6" s="77">
        <v>0.0</v>
      </c>
      <c r="G6" s="77">
        <v>2000.0</v>
      </c>
      <c r="H6" s="77">
        <v>2000.0</v>
      </c>
      <c r="I6" s="77">
        <v>0.0</v>
      </c>
      <c r="J6" s="77">
        <v>2000.0</v>
      </c>
      <c r="K6" s="77">
        <v>2000.0</v>
      </c>
      <c r="L6" s="77">
        <v>2000.0</v>
      </c>
      <c r="M6" s="77">
        <v>0.0</v>
      </c>
      <c r="N6" s="77">
        <v>2000.0</v>
      </c>
      <c r="O6" s="77">
        <v>3500.0</v>
      </c>
      <c r="P6" s="57">
        <f t="shared" si="1"/>
        <v>19500</v>
      </c>
      <c r="Q6" s="58"/>
    </row>
    <row r="7" ht="22.5" customHeight="1">
      <c r="A7" s="53">
        <v>4.0</v>
      </c>
      <c r="B7" s="76" t="s">
        <v>637</v>
      </c>
      <c r="C7" s="56">
        <v>3000.0</v>
      </c>
      <c r="D7" s="56">
        <v>0.0</v>
      </c>
      <c r="E7" s="77">
        <v>3000.0</v>
      </c>
      <c r="F7" s="77">
        <v>0.0</v>
      </c>
      <c r="G7" s="77">
        <v>3000.0</v>
      </c>
      <c r="H7" s="77">
        <v>0.0</v>
      </c>
      <c r="I7" s="77">
        <v>3000.0</v>
      </c>
      <c r="J7" s="77">
        <v>0.0</v>
      </c>
      <c r="K7" s="77">
        <v>10000.0</v>
      </c>
      <c r="L7" s="77">
        <v>0.0</v>
      </c>
      <c r="M7" s="77">
        <v>0.0</v>
      </c>
      <c r="N7" s="77">
        <v>0.0</v>
      </c>
      <c r="O7" s="77">
        <v>3300.0</v>
      </c>
      <c r="P7" s="57">
        <f>SUM(E7:O7)</f>
        <v>22300</v>
      </c>
      <c r="Q7" s="58"/>
    </row>
    <row r="8" ht="22.5" customHeight="1">
      <c r="A8" s="53">
        <v>5.0</v>
      </c>
      <c r="B8" s="76" t="s">
        <v>638</v>
      </c>
      <c r="C8" s="56">
        <v>2000.0</v>
      </c>
      <c r="D8" s="56">
        <v>2000.0</v>
      </c>
      <c r="E8" s="77">
        <v>2000.0</v>
      </c>
      <c r="F8" s="77">
        <v>2000.0</v>
      </c>
      <c r="G8" s="77">
        <v>2000.0</v>
      </c>
      <c r="H8" s="77">
        <v>5000.0</v>
      </c>
      <c r="I8" s="77">
        <v>0.0</v>
      </c>
      <c r="J8" s="77">
        <v>2000.0</v>
      </c>
      <c r="K8" s="77">
        <v>2000.0</v>
      </c>
      <c r="L8" s="77">
        <v>2000.0</v>
      </c>
      <c r="M8" s="77">
        <v>2000.0</v>
      </c>
      <c r="N8" s="77">
        <v>2000.0</v>
      </c>
      <c r="O8" s="77">
        <v>2700.0</v>
      </c>
      <c r="P8" s="57">
        <f t="shared" ref="P8:P9" si="2">SUM(D8:O8)</f>
        <v>25700</v>
      </c>
      <c r="Q8" s="58"/>
    </row>
    <row r="9" ht="22.5" customHeight="1">
      <c r="A9" s="53">
        <v>6.0</v>
      </c>
      <c r="B9" s="76" t="s">
        <v>639</v>
      </c>
      <c r="C9" s="56">
        <v>5000.0</v>
      </c>
      <c r="D9" s="56">
        <v>0.0</v>
      </c>
      <c r="E9" s="77">
        <v>0.0</v>
      </c>
      <c r="F9" s="77">
        <v>5000.0</v>
      </c>
      <c r="G9" s="77">
        <v>0.0</v>
      </c>
      <c r="H9" s="77">
        <v>0.0</v>
      </c>
      <c r="I9" s="77">
        <v>5000.0</v>
      </c>
      <c r="J9" s="77">
        <v>5000.0</v>
      </c>
      <c r="K9" s="77">
        <v>0.0</v>
      </c>
      <c r="L9" s="77">
        <v>5000.0</v>
      </c>
      <c r="M9" s="77">
        <v>0.0</v>
      </c>
      <c r="N9" s="77">
        <v>7500.0</v>
      </c>
      <c r="O9" s="77">
        <v>0.0</v>
      </c>
      <c r="P9" s="57">
        <f t="shared" si="2"/>
        <v>27500</v>
      </c>
      <c r="Q9" s="58"/>
    </row>
    <row r="10" ht="22.5" customHeight="1">
      <c r="A10" s="53">
        <v>7.0</v>
      </c>
      <c r="B10" s="76" t="s">
        <v>640</v>
      </c>
      <c r="C10" s="56">
        <v>5000.0</v>
      </c>
      <c r="D10" s="56">
        <v>5000.0</v>
      </c>
      <c r="E10" s="77">
        <v>0.0</v>
      </c>
      <c r="F10" s="77">
        <v>5000.0</v>
      </c>
      <c r="G10" s="77">
        <v>5000.0</v>
      </c>
      <c r="H10" s="77">
        <v>500.0</v>
      </c>
      <c r="I10" s="77">
        <v>0.0</v>
      </c>
      <c r="J10" s="77">
        <v>5000.0</v>
      </c>
      <c r="K10" s="77">
        <v>5000.0</v>
      </c>
      <c r="L10" s="77">
        <v>5000.0</v>
      </c>
      <c r="M10" s="77">
        <v>5000.0</v>
      </c>
      <c r="N10" s="77">
        <v>5000.0</v>
      </c>
      <c r="O10" s="77">
        <v>5000.0</v>
      </c>
      <c r="P10" s="57">
        <f>SUM(E10:O10)</f>
        <v>40500</v>
      </c>
      <c r="Q10" s="58"/>
    </row>
    <row r="11" ht="22.5" customHeight="1">
      <c r="A11" s="53">
        <v>8.0</v>
      </c>
      <c r="B11" s="76" t="s">
        <v>641</v>
      </c>
      <c r="C11" s="56">
        <v>5000.0</v>
      </c>
      <c r="D11" s="56">
        <v>5000.0</v>
      </c>
      <c r="E11" s="77">
        <v>5000.0</v>
      </c>
      <c r="F11" s="77">
        <v>5000.0</v>
      </c>
      <c r="G11" s="77">
        <v>0.0</v>
      </c>
      <c r="H11" s="77">
        <v>7500.0</v>
      </c>
      <c r="I11" s="77">
        <v>0.0</v>
      </c>
      <c r="J11" s="77">
        <v>5000.0</v>
      </c>
      <c r="K11" s="77">
        <v>5000.0</v>
      </c>
      <c r="L11" s="77">
        <v>0.0</v>
      </c>
      <c r="M11" s="77">
        <v>0.0</v>
      </c>
      <c r="N11" s="77">
        <v>5000.0</v>
      </c>
      <c r="O11" s="77">
        <v>0.0</v>
      </c>
      <c r="P11" s="57">
        <f t="shared" ref="P11:P12" si="3">SUM(D11:O11)</f>
        <v>37500</v>
      </c>
      <c r="Q11" s="58"/>
    </row>
    <row r="12" ht="22.5" customHeight="1">
      <c r="A12" s="53">
        <v>9.0</v>
      </c>
      <c r="B12" s="76" t="s">
        <v>642</v>
      </c>
      <c r="C12" s="56">
        <v>10000.0</v>
      </c>
      <c r="D12" s="56">
        <v>10000.0</v>
      </c>
      <c r="E12" s="77">
        <v>0.0</v>
      </c>
      <c r="F12" s="77">
        <v>5000.0</v>
      </c>
      <c r="G12" s="77">
        <v>0.0</v>
      </c>
      <c r="H12" s="77">
        <v>12500.0</v>
      </c>
      <c r="I12" s="77">
        <v>20000.0</v>
      </c>
      <c r="J12" s="77">
        <v>0.0</v>
      </c>
      <c r="K12" s="77">
        <v>10000.0</v>
      </c>
      <c r="L12" s="77">
        <v>10000.0</v>
      </c>
      <c r="M12" s="77">
        <v>0.0</v>
      </c>
      <c r="N12" s="77">
        <v>10000.0</v>
      </c>
      <c r="O12" s="77">
        <v>20000.0</v>
      </c>
      <c r="P12" s="57">
        <f t="shared" si="3"/>
        <v>97500</v>
      </c>
      <c r="Q12" s="58"/>
    </row>
    <row r="13" ht="22.5" customHeight="1">
      <c r="A13" s="53">
        <v>10.0</v>
      </c>
      <c r="B13" s="76" t="s">
        <v>643</v>
      </c>
      <c r="C13" s="56">
        <v>2000.0</v>
      </c>
      <c r="D13" s="56">
        <v>2000.0</v>
      </c>
      <c r="E13" s="77">
        <v>2000.0</v>
      </c>
      <c r="F13" s="77">
        <v>2000.0</v>
      </c>
      <c r="G13" s="77">
        <v>2000.0</v>
      </c>
      <c r="H13" s="77">
        <v>3500.0</v>
      </c>
      <c r="I13" s="77">
        <v>5000.0</v>
      </c>
      <c r="J13" s="77">
        <v>0.0</v>
      </c>
      <c r="K13" s="77">
        <v>0.0</v>
      </c>
      <c r="L13" s="77">
        <v>2000.0</v>
      </c>
      <c r="M13" s="77">
        <v>0.0</v>
      </c>
      <c r="N13" s="77">
        <v>2000.0</v>
      </c>
      <c r="O13" s="77">
        <v>2500.0</v>
      </c>
      <c r="P13" s="57">
        <f>SUM(E13:O13)</f>
        <v>21000</v>
      </c>
      <c r="Q13" s="58"/>
    </row>
    <row r="14" ht="26.25" customHeight="1">
      <c r="A14" s="53">
        <v>11.0</v>
      </c>
      <c r="B14" s="76" t="s">
        <v>644</v>
      </c>
      <c r="C14" s="56">
        <v>1000.0</v>
      </c>
      <c r="D14" s="56">
        <v>1000.0</v>
      </c>
      <c r="E14" s="77">
        <v>1000.0</v>
      </c>
      <c r="F14" s="77">
        <v>1000.0</v>
      </c>
      <c r="G14" s="77">
        <v>1000.0</v>
      </c>
      <c r="H14" s="77">
        <v>4000.0</v>
      </c>
      <c r="I14" s="77">
        <v>5000.0</v>
      </c>
      <c r="J14" s="77">
        <v>1000.0</v>
      </c>
      <c r="K14" s="77">
        <v>1000.0</v>
      </c>
      <c r="L14" s="77">
        <v>1000.0</v>
      </c>
      <c r="M14" s="77">
        <v>1000.0</v>
      </c>
      <c r="N14" s="77">
        <v>1000.0</v>
      </c>
      <c r="O14" s="77">
        <v>3000.0</v>
      </c>
      <c r="P14" s="57">
        <f>SUM(D14:O14)</f>
        <v>21000</v>
      </c>
      <c r="Q14" s="58"/>
    </row>
    <row r="15" ht="22.5" customHeight="1">
      <c r="A15" s="65"/>
      <c r="B15" s="65"/>
      <c r="C15" s="76">
        <f>SUM(_[Amount])</f>
        <v>50000</v>
      </c>
      <c r="D15" s="67">
        <f t="shared" ref="D15:P15" si="4">SUM(D4:D14)</f>
        <v>34000</v>
      </c>
      <c r="E15" s="67">
        <f t="shared" si="4"/>
        <v>22000</v>
      </c>
      <c r="F15" s="67">
        <f t="shared" si="4"/>
        <v>50000</v>
      </c>
      <c r="G15" s="67">
        <f t="shared" si="4"/>
        <v>30000</v>
      </c>
      <c r="H15" s="67">
        <f t="shared" si="4"/>
        <v>50000</v>
      </c>
      <c r="I15" s="67">
        <f t="shared" si="4"/>
        <v>38000</v>
      </c>
      <c r="J15" s="67">
        <f t="shared" si="4"/>
        <v>35000</v>
      </c>
      <c r="K15" s="67">
        <f t="shared" si="4"/>
        <v>45000</v>
      </c>
      <c r="L15" s="67">
        <f t="shared" si="4"/>
        <v>37000</v>
      </c>
      <c r="M15" s="67">
        <f t="shared" si="4"/>
        <v>23000</v>
      </c>
      <c r="N15" s="67">
        <f t="shared" si="4"/>
        <v>50000</v>
      </c>
      <c r="O15" s="67">
        <f t="shared" si="4"/>
        <v>50000</v>
      </c>
      <c r="P15" s="68">
        <f t="shared" si="4"/>
        <v>457000</v>
      </c>
      <c r="Q15" s="69"/>
    </row>
    <row r="16" ht="22.5" customHeight="1">
      <c r="A16" s="78"/>
      <c r="C16" s="79" t="s">
        <v>632</v>
      </c>
      <c r="D16" s="80">
        <v>50000.0</v>
      </c>
      <c r="E16" s="80">
        <v>50000.0</v>
      </c>
      <c r="F16" s="80">
        <v>50000.0</v>
      </c>
      <c r="G16" s="80">
        <v>50000.0</v>
      </c>
      <c r="H16" s="80">
        <v>50000.0</v>
      </c>
      <c r="I16" s="80">
        <v>50000.0</v>
      </c>
      <c r="J16" s="80">
        <v>50000.0</v>
      </c>
      <c r="K16" s="80">
        <v>50000.0</v>
      </c>
      <c r="L16" s="80">
        <v>50000.0</v>
      </c>
      <c r="M16" s="80">
        <v>50000.0</v>
      </c>
      <c r="N16" s="80">
        <v>50000.0</v>
      </c>
      <c r="O16" s="80">
        <v>50000.0</v>
      </c>
      <c r="P16" s="81">
        <f t="shared" ref="P16:P17" si="6">SUM(D16:O16)</f>
        <v>600000</v>
      </c>
      <c r="Q16" s="78"/>
    </row>
    <row r="17" ht="22.5" customHeight="1">
      <c r="A17" s="78"/>
      <c r="B17" s="82"/>
      <c r="C17" s="79" t="s">
        <v>633</v>
      </c>
      <c r="D17" s="83">
        <f t="shared" ref="D17:N17" si="5">D15-D16</f>
        <v>-16000</v>
      </c>
      <c r="E17" s="83">
        <f t="shared" si="5"/>
        <v>-28000</v>
      </c>
      <c r="F17" s="83">
        <f t="shared" si="5"/>
        <v>0</v>
      </c>
      <c r="G17" s="83">
        <f t="shared" si="5"/>
        <v>-20000</v>
      </c>
      <c r="H17" s="83">
        <f t="shared" si="5"/>
        <v>0</v>
      </c>
      <c r="I17" s="83">
        <f t="shared" si="5"/>
        <v>-12000</v>
      </c>
      <c r="J17" s="83">
        <f t="shared" si="5"/>
        <v>-15000</v>
      </c>
      <c r="K17" s="83">
        <f t="shared" si="5"/>
        <v>-5000</v>
      </c>
      <c r="L17" s="83">
        <f t="shared" si="5"/>
        <v>-13000</v>
      </c>
      <c r="M17" s="83">
        <f t="shared" si="5"/>
        <v>-27000</v>
      </c>
      <c r="N17" s="83">
        <f t="shared" si="5"/>
        <v>0</v>
      </c>
      <c r="O17" s="80">
        <v>0.0</v>
      </c>
      <c r="P17" s="81">
        <f t="shared" si="6"/>
        <v>-136000</v>
      </c>
      <c r="Q17" s="78"/>
    </row>
  </sheetData>
  <mergeCells count="1">
    <mergeCell ref="A1:P1"/>
  </mergeCells>
  <conditionalFormatting sqref="A3:F17 G3:O4 P3:P17 Q3 G14:H17 I15:O17 Q15:Q17">
    <cfRule type="cellIs" dxfId="0" priority="1" operator="equal">
      <formula>"TRUE"</formula>
    </cfRule>
  </conditionalFormatting>
  <conditionalFormatting sqref="A3:F17 G3:O4 P3:P17 Q3 G14:H17 I15:O17 Q15:Q17">
    <cfRule type="cellIs" dxfId="1" priority="2" operator="equal">
      <formula>"FALSE"</formula>
    </cfRule>
  </conditionalFormatting>
  <printOptions gridLines="1" horizontalCentered="1"/>
  <pageMargins bottom="0.0" footer="0.0" header="0.0" left="0.0" right="0.0" top="0.0"/>
  <pageSetup fitToHeight="0"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5.0"/>
  </cols>
  <sheetData>
    <row r="1">
      <c r="A1" s="1" t="s">
        <v>645</v>
      </c>
    </row>
    <row r="3" ht="22.5" customHeight="1">
      <c r="A3" s="49" t="s">
        <v>4</v>
      </c>
      <c r="B3" s="50" t="s">
        <v>5</v>
      </c>
      <c r="C3" s="50" t="s">
        <v>620</v>
      </c>
      <c r="D3" s="52" t="s">
        <v>621</v>
      </c>
      <c r="E3" s="52" t="s">
        <v>622</v>
      </c>
      <c r="F3" s="52" t="s">
        <v>623</v>
      </c>
      <c r="G3" s="52" t="s">
        <v>624</v>
      </c>
      <c r="H3" s="52" t="s">
        <v>625</v>
      </c>
      <c r="I3" s="52" t="s">
        <v>626</v>
      </c>
      <c r="J3" s="52" t="s">
        <v>627</v>
      </c>
      <c r="K3" s="52" t="s">
        <v>628</v>
      </c>
      <c r="L3" s="52" t="s">
        <v>629</v>
      </c>
      <c r="M3" s="52" t="s">
        <v>630</v>
      </c>
      <c r="N3" s="52" t="s">
        <v>631</v>
      </c>
      <c r="O3" s="52" t="s">
        <v>9</v>
      </c>
    </row>
    <row r="4" ht="22.5" customHeight="1">
      <c r="A4" s="53">
        <v>1.0</v>
      </c>
      <c r="B4" s="59" t="s">
        <v>22</v>
      </c>
      <c r="C4" s="56">
        <v>2000.0</v>
      </c>
      <c r="D4" s="56">
        <v>2400.0</v>
      </c>
      <c r="E4" s="56">
        <v>3000.0</v>
      </c>
      <c r="F4" s="56">
        <v>2000.0</v>
      </c>
      <c r="G4" s="56">
        <v>2400.0</v>
      </c>
      <c r="H4" s="56">
        <v>3000.0</v>
      </c>
      <c r="I4" s="56">
        <v>2000.0</v>
      </c>
      <c r="J4" s="56">
        <v>2400.0</v>
      </c>
      <c r="K4" s="56">
        <v>3000.0</v>
      </c>
      <c r="L4" s="56">
        <v>3000.0</v>
      </c>
      <c r="M4" s="84">
        <v>3000.0</v>
      </c>
      <c r="N4" s="56">
        <v>3000.0</v>
      </c>
      <c r="O4" s="58"/>
    </row>
    <row r="5" ht="22.5" customHeight="1">
      <c r="A5" s="53">
        <v>2.0</v>
      </c>
      <c r="B5" s="59" t="s">
        <v>29</v>
      </c>
      <c r="C5" s="56">
        <v>2000.0</v>
      </c>
      <c r="D5" s="56">
        <v>2500.0</v>
      </c>
      <c r="E5" s="56">
        <v>3000.0</v>
      </c>
      <c r="F5" s="56">
        <v>2000.0</v>
      </c>
      <c r="G5" s="56">
        <v>2500.0</v>
      </c>
      <c r="H5" s="56">
        <v>3000.0</v>
      </c>
      <c r="I5" s="56">
        <v>2000.0</v>
      </c>
      <c r="J5" s="56">
        <v>2500.0</v>
      </c>
      <c r="K5" s="56">
        <v>3000.0</v>
      </c>
      <c r="L5" s="56">
        <v>3000.0</v>
      </c>
      <c r="M5" s="85">
        <v>3000.0</v>
      </c>
      <c r="N5" s="56">
        <v>3000.0</v>
      </c>
      <c r="O5" s="58"/>
    </row>
    <row r="6" ht="22.5" customHeight="1">
      <c r="A6" s="53">
        <v>3.0</v>
      </c>
      <c r="B6" s="59" t="s">
        <v>35</v>
      </c>
      <c r="C6" s="56">
        <v>2000.0</v>
      </c>
      <c r="D6" s="56">
        <v>2600.0</v>
      </c>
      <c r="E6" s="56">
        <v>3000.0</v>
      </c>
      <c r="F6" s="56">
        <v>2000.0</v>
      </c>
      <c r="G6" s="56">
        <v>2600.0</v>
      </c>
      <c r="H6" s="56">
        <v>3000.0</v>
      </c>
      <c r="I6" s="56">
        <v>2000.0</v>
      </c>
      <c r="J6" s="56">
        <v>2600.0</v>
      </c>
      <c r="K6" s="56">
        <v>3000.0</v>
      </c>
      <c r="L6" s="56">
        <v>3000.0</v>
      </c>
      <c r="M6" s="84">
        <v>3000.0</v>
      </c>
      <c r="N6" s="56">
        <v>3000.0</v>
      </c>
      <c r="O6" s="58"/>
    </row>
    <row r="7" ht="22.5" customHeight="1">
      <c r="A7" s="53">
        <v>4.0</v>
      </c>
      <c r="B7" s="59" t="s">
        <v>44</v>
      </c>
      <c r="C7" s="56">
        <v>2000.0</v>
      </c>
      <c r="D7" s="56">
        <v>2400.0</v>
      </c>
      <c r="E7" s="56">
        <v>3000.0</v>
      </c>
      <c r="F7" s="56">
        <v>2000.0</v>
      </c>
      <c r="G7" s="56">
        <v>2400.0</v>
      </c>
      <c r="H7" s="56">
        <v>3000.0</v>
      </c>
      <c r="I7" s="56">
        <v>2000.0</v>
      </c>
      <c r="J7" s="56">
        <v>2400.0</v>
      </c>
      <c r="K7" s="56">
        <v>3000.0</v>
      </c>
      <c r="L7" s="56">
        <v>3000.0</v>
      </c>
      <c r="M7" s="85">
        <v>3000.0</v>
      </c>
      <c r="N7" s="56">
        <v>3000.0</v>
      </c>
      <c r="O7" s="58"/>
    </row>
    <row r="8" ht="22.5" customHeight="1">
      <c r="A8" s="53">
        <v>5.0</v>
      </c>
      <c r="B8" s="59" t="s">
        <v>51</v>
      </c>
      <c r="C8" s="56">
        <v>2000.0</v>
      </c>
      <c r="D8" s="56">
        <v>2400.0</v>
      </c>
      <c r="E8" s="56">
        <v>3000.0</v>
      </c>
      <c r="F8" s="56">
        <v>2000.0</v>
      </c>
      <c r="G8" s="56">
        <v>2400.0</v>
      </c>
      <c r="H8" s="56">
        <v>3000.0</v>
      </c>
      <c r="I8" s="56">
        <v>2000.0</v>
      </c>
      <c r="J8" s="56">
        <v>2400.0</v>
      </c>
      <c r="K8" s="56">
        <v>3000.0</v>
      </c>
      <c r="L8" s="56">
        <v>3000.0</v>
      </c>
      <c r="M8" s="84">
        <v>3000.0</v>
      </c>
      <c r="N8" s="56">
        <v>3000.0</v>
      </c>
      <c r="O8" s="58"/>
    </row>
    <row r="9" ht="22.5" customHeight="1">
      <c r="A9" s="53">
        <v>6.0</v>
      </c>
      <c r="B9" s="59" t="s">
        <v>57</v>
      </c>
      <c r="C9" s="56">
        <v>2000.0</v>
      </c>
      <c r="D9" s="56">
        <v>2500.0</v>
      </c>
      <c r="E9" s="56">
        <v>3000.0</v>
      </c>
      <c r="F9" s="56">
        <v>2000.0</v>
      </c>
      <c r="G9" s="56">
        <v>2500.0</v>
      </c>
      <c r="H9" s="56">
        <v>3000.0</v>
      </c>
      <c r="I9" s="56">
        <v>2000.0</v>
      </c>
      <c r="J9" s="56">
        <v>2500.0</v>
      </c>
      <c r="K9" s="56">
        <v>3000.0</v>
      </c>
      <c r="L9" s="56">
        <v>3000.0</v>
      </c>
      <c r="M9" s="85">
        <v>3000.0</v>
      </c>
      <c r="N9" s="56">
        <v>3000.0</v>
      </c>
      <c r="O9" s="58"/>
    </row>
    <row r="10" ht="22.5" customHeight="1">
      <c r="A10" s="53">
        <v>7.0</v>
      </c>
      <c r="B10" s="59" t="s">
        <v>64</v>
      </c>
      <c r="C10" s="56">
        <v>2000.0</v>
      </c>
      <c r="D10" s="56">
        <v>2600.0</v>
      </c>
      <c r="E10" s="56">
        <v>3000.0</v>
      </c>
      <c r="F10" s="56">
        <v>2000.0</v>
      </c>
      <c r="G10" s="56">
        <v>2600.0</v>
      </c>
      <c r="H10" s="56">
        <v>3000.0</v>
      </c>
      <c r="I10" s="56">
        <v>2000.0</v>
      </c>
      <c r="J10" s="56">
        <v>2600.0</v>
      </c>
      <c r="K10" s="56">
        <v>3000.0</v>
      </c>
      <c r="L10" s="56">
        <v>3000.0</v>
      </c>
      <c r="M10" s="84">
        <v>3000.0</v>
      </c>
      <c r="N10" s="56">
        <v>3000.0</v>
      </c>
      <c r="O10" s="58"/>
    </row>
    <row r="11" ht="22.5" customHeight="1">
      <c r="A11" s="53">
        <v>8.0</v>
      </c>
      <c r="B11" s="59" t="s">
        <v>73</v>
      </c>
      <c r="C11" s="56">
        <v>2000.0</v>
      </c>
      <c r="D11" s="56">
        <v>2600.0</v>
      </c>
      <c r="E11" s="56">
        <v>3000.0</v>
      </c>
      <c r="F11" s="56">
        <v>2000.0</v>
      </c>
      <c r="G11" s="56">
        <v>2600.0</v>
      </c>
      <c r="H11" s="56">
        <v>3000.0</v>
      </c>
      <c r="I11" s="56">
        <v>2000.0</v>
      </c>
      <c r="J11" s="56">
        <v>2600.0</v>
      </c>
      <c r="K11" s="56">
        <v>3000.0</v>
      </c>
      <c r="L11" s="56">
        <v>3000.0</v>
      </c>
      <c r="M11" s="85">
        <v>3000.0</v>
      </c>
      <c r="N11" s="56">
        <v>3000.0</v>
      </c>
      <c r="O11" s="58"/>
    </row>
    <row r="12" ht="22.5" customHeight="1">
      <c r="A12" s="53">
        <v>9.0</v>
      </c>
      <c r="B12" s="59" t="s">
        <v>79</v>
      </c>
      <c r="C12" s="56">
        <v>2000.0</v>
      </c>
      <c r="D12" s="56">
        <v>2500.0</v>
      </c>
      <c r="E12" s="56">
        <v>3000.0</v>
      </c>
      <c r="F12" s="56">
        <v>2000.0</v>
      </c>
      <c r="G12" s="56">
        <v>2500.0</v>
      </c>
      <c r="H12" s="56">
        <v>3000.0</v>
      </c>
      <c r="I12" s="56">
        <v>0.0</v>
      </c>
      <c r="J12" s="56">
        <v>0.0</v>
      </c>
      <c r="K12" s="56">
        <v>0.0</v>
      </c>
      <c r="L12" s="56">
        <v>0.0</v>
      </c>
      <c r="M12" s="86">
        <v>0.0</v>
      </c>
      <c r="N12" s="56">
        <v>0.0</v>
      </c>
      <c r="O12" s="87" t="s">
        <v>646</v>
      </c>
    </row>
    <row r="13" ht="22.5" customHeight="1">
      <c r="A13" s="53">
        <v>10.0</v>
      </c>
      <c r="B13" s="59" t="s">
        <v>85</v>
      </c>
      <c r="C13" s="56">
        <v>2000.0</v>
      </c>
      <c r="D13" s="56">
        <v>2600.0</v>
      </c>
      <c r="E13" s="56">
        <v>3000.0</v>
      </c>
      <c r="F13" s="56">
        <v>2000.0</v>
      </c>
      <c r="G13" s="56">
        <v>2600.0</v>
      </c>
      <c r="H13" s="56">
        <v>3000.0</v>
      </c>
      <c r="I13" s="56">
        <v>2000.0</v>
      </c>
      <c r="J13" s="56">
        <v>2600.0</v>
      </c>
      <c r="K13" s="56">
        <v>3000.0</v>
      </c>
      <c r="L13" s="56">
        <v>3000.0</v>
      </c>
      <c r="M13" s="88">
        <v>3000.0</v>
      </c>
      <c r="N13" s="56">
        <v>3000.0</v>
      </c>
    </row>
    <row r="14" ht="22.5" customHeight="1">
      <c r="A14" s="53">
        <v>11.0</v>
      </c>
      <c r="B14" s="59" t="s">
        <v>91</v>
      </c>
      <c r="C14" s="56">
        <v>2000.0</v>
      </c>
      <c r="D14" s="56">
        <v>2500.0</v>
      </c>
      <c r="E14" s="56">
        <v>3000.0</v>
      </c>
      <c r="F14" s="56">
        <v>2000.0</v>
      </c>
      <c r="G14" s="56">
        <v>2500.0</v>
      </c>
      <c r="H14" s="56">
        <v>3000.0</v>
      </c>
      <c r="I14" s="56">
        <v>2000.0</v>
      </c>
      <c r="J14" s="56">
        <v>2500.0</v>
      </c>
      <c r="K14" s="56">
        <v>3000.0</v>
      </c>
      <c r="L14" s="56">
        <v>3000.0</v>
      </c>
      <c r="M14" s="89">
        <v>3000.0</v>
      </c>
      <c r="N14" s="56">
        <v>3000.0</v>
      </c>
    </row>
    <row r="15" ht="22.5" customHeight="1">
      <c r="A15" s="53">
        <v>12.0</v>
      </c>
      <c r="B15" s="59" t="s">
        <v>97</v>
      </c>
      <c r="C15" s="56">
        <v>2000.0</v>
      </c>
      <c r="D15" s="56">
        <v>2500.0</v>
      </c>
      <c r="E15" s="56">
        <v>3000.0</v>
      </c>
      <c r="F15" s="56">
        <v>2000.0</v>
      </c>
      <c r="G15" s="56">
        <v>2500.0</v>
      </c>
      <c r="H15" s="56">
        <v>3000.0</v>
      </c>
      <c r="I15" s="56">
        <v>2000.0</v>
      </c>
      <c r="J15" s="56">
        <v>2500.0</v>
      </c>
      <c r="K15" s="56">
        <v>3000.0</v>
      </c>
      <c r="L15" s="56">
        <v>3000.0</v>
      </c>
      <c r="M15" s="88">
        <v>3000.0</v>
      </c>
      <c r="N15" s="56">
        <v>3000.0</v>
      </c>
    </row>
    <row r="16" ht="22.5" customHeight="1">
      <c r="A16" s="53">
        <v>13.0</v>
      </c>
      <c r="B16" s="59" t="s">
        <v>103</v>
      </c>
      <c r="C16" s="56">
        <v>2000.0</v>
      </c>
      <c r="D16" s="56">
        <v>2400.0</v>
      </c>
      <c r="E16" s="56">
        <v>3000.0</v>
      </c>
      <c r="F16" s="56">
        <v>2000.0</v>
      </c>
      <c r="G16" s="56">
        <v>2400.0</v>
      </c>
      <c r="H16" s="56">
        <v>3000.0</v>
      </c>
      <c r="I16" s="56">
        <v>2000.0</v>
      </c>
      <c r="J16" s="56">
        <v>2400.0</v>
      </c>
      <c r="K16" s="86">
        <v>0.0</v>
      </c>
      <c r="L16" s="56">
        <v>0.0</v>
      </c>
      <c r="M16" s="86">
        <v>0.0</v>
      </c>
      <c r="N16" s="56">
        <v>0.0</v>
      </c>
      <c r="O16" s="59" t="s">
        <v>647</v>
      </c>
    </row>
    <row r="17" ht="22.5" customHeight="1">
      <c r="A17" s="53">
        <v>14.0</v>
      </c>
      <c r="B17" s="59" t="s">
        <v>112</v>
      </c>
      <c r="C17" s="56">
        <v>2000.0</v>
      </c>
      <c r="D17" s="56">
        <v>2500.0</v>
      </c>
      <c r="E17" s="56">
        <v>3000.0</v>
      </c>
      <c r="F17" s="56">
        <v>2000.0</v>
      </c>
      <c r="G17" s="56">
        <v>2500.0</v>
      </c>
      <c r="H17" s="56">
        <v>3000.0</v>
      </c>
      <c r="I17" s="56">
        <v>2000.0</v>
      </c>
      <c r="J17" s="56">
        <v>2500.0</v>
      </c>
      <c r="K17" s="56">
        <v>3000.0</v>
      </c>
      <c r="L17" s="56">
        <v>3000.0</v>
      </c>
      <c r="M17" s="88">
        <v>3000.0</v>
      </c>
      <c r="N17" s="56">
        <v>3000.0</v>
      </c>
    </row>
    <row r="18" ht="22.5" customHeight="1">
      <c r="A18" s="53">
        <v>15.0</v>
      </c>
      <c r="B18" s="59" t="s">
        <v>118</v>
      </c>
      <c r="C18" s="56">
        <v>2000.0</v>
      </c>
      <c r="D18" s="56">
        <v>2600.0</v>
      </c>
      <c r="E18" s="56">
        <v>3000.0</v>
      </c>
      <c r="F18" s="56">
        <v>2000.0</v>
      </c>
      <c r="G18" s="56">
        <v>2600.0</v>
      </c>
      <c r="H18" s="56">
        <v>3000.0</v>
      </c>
      <c r="I18" s="56">
        <v>2000.0</v>
      </c>
      <c r="J18" s="56">
        <v>2600.0</v>
      </c>
      <c r="K18" s="56">
        <v>3000.0</v>
      </c>
      <c r="L18" s="56">
        <v>3000.0</v>
      </c>
      <c r="M18" s="89">
        <v>3000.0</v>
      </c>
      <c r="N18" s="56">
        <v>3000.0</v>
      </c>
    </row>
    <row r="19" ht="22.5" customHeight="1">
      <c r="A19" s="53">
        <v>16.0</v>
      </c>
      <c r="B19" s="59" t="s">
        <v>127</v>
      </c>
      <c r="C19" s="56">
        <v>2000.0</v>
      </c>
      <c r="D19" s="56">
        <v>2500.0</v>
      </c>
      <c r="E19" s="56">
        <v>3000.0</v>
      </c>
      <c r="F19" s="56">
        <v>2000.0</v>
      </c>
      <c r="G19" s="56">
        <v>2500.0</v>
      </c>
      <c r="H19" s="56">
        <v>3000.0</v>
      </c>
      <c r="I19" s="56">
        <v>2000.0</v>
      </c>
      <c r="J19" s="56">
        <v>2500.0</v>
      </c>
      <c r="K19" s="56">
        <v>3000.0</v>
      </c>
      <c r="L19" s="56">
        <v>3000.0</v>
      </c>
      <c r="M19" s="88">
        <v>3000.0</v>
      </c>
      <c r="N19" s="56">
        <v>3000.0</v>
      </c>
    </row>
    <row r="20" ht="22.5" customHeight="1">
      <c r="A20" s="53">
        <v>17.0</v>
      </c>
      <c r="B20" s="59" t="s">
        <v>133</v>
      </c>
      <c r="C20" s="56">
        <v>2000.0</v>
      </c>
      <c r="D20" s="56">
        <v>2500.0</v>
      </c>
      <c r="E20" s="56">
        <v>3000.0</v>
      </c>
      <c r="F20" s="56">
        <v>2000.0</v>
      </c>
      <c r="G20" s="56">
        <v>2500.0</v>
      </c>
      <c r="H20" s="56">
        <v>3000.0</v>
      </c>
      <c r="I20" s="56">
        <v>2000.0</v>
      </c>
      <c r="J20" s="56">
        <v>2500.0</v>
      </c>
      <c r="K20" s="56">
        <v>3000.0</v>
      </c>
      <c r="L20" s="56">
        <v>3000.0</v>
      </c>
      <c r="M20" s="89">
        <v>3000.0</v>
      </c>
      <c r="N20" s="56">
        <v>3000.0</v>
      </c>
    </row>
    <row r="21" ht="22.5" customHeight="1">
      <c r="A21" s="53">
        <v>18.0</v>
      </c>
      <c r="B21" s="59" t="s">
        <v>139</v>
      </c>
      <c r="C21" s="56">
        <v>2000.0</v>
      </c>
      <c r="D21" s="56">
        <v>2500.0</v>
      </c>
      <c r="E21" s="56">
        <v>3000.0</v>
      </c>
      <c r="F21" s="56">
        <v>2000.0</v>
      </c>
      <c r="G21" s="56">
        <v>2500.0</v>
      </c>
      <c r="H21" s="56">
        <v>3000.0</v>
      </c>
      <c r="I21" s="56">
        <v>2000.0</v>
      </c>
      <c r="J21" s="56">
        <v>2500.0</v>
      </c>
      <c r="K21" s="56">
        <v>3000.0</v>
      </c>
      <c r="L21" s="56">
        <v>3000.0</v>
      </c>
      <c r="M21" s="88">
        <v>3000.0</v>
      </c>
      <c r="N21" s="56">
        <v>3000.0</v>
      </c>
    </row>
    <row r="22" ht="22.5" customHeight="1">
      <c r="A22" s="53">
        <v>19.0</v>
      </c>
      <c r="B22" s="59" t="s">
        <v>145</v>
      </c>
      <c r="C22" s="56">
        <v>2000.0</v>
      </c>
      <c r="D22" s="56">
        <v>2500.0</v>
      </c>
      <c r="E22" s="56">
        <v>3000.0</v>
      </c>
      <c r="F22" s="56">
        <v>2000.0</v>
      </c>
      <c r="G22" s="56">
        <v>2500.0</v>
      </c>
      <c r="H22" s="56">
        <v>3000.0</v>
      </c>
      <c r="I22" s="56">
        <v>2000.0</v>
      </c>
      <c r="J22" s="56">
        <v>2500.0</v>
      </c>
      <c r="K22" s="56">
        <v>3000.0</v>
      </c>
      <c r="L22" s="56">
        <v>3000.0</v>
      </c>
      <c r="M22" s="86">
        <v>0.0</v>
      </c>
      <c r="N22" s="56">
        <v>0.0</v>
      </c>
      <c r="O22" s="59" t="s">
        <v>648</v>
      </c>
    </row>
    <row r="23" ht="22.5" customHeight="1">
      <c r="A23" s="53">
        <v>20.0</v>
      </c>
      <c r="B23" s="59" t="s">
        <v>151</v>
      </c>
      <c r="C23" s="56">
        <v>2000.0</v>
      </c>
      <c r="D23" s="56">
        <v>2500.0</v>
      </c>
      <c r="E23" s="56">
        <v>3000.0</v>
      </c>
      <c r="F23" s="56">
        <v>2000.0</v>
      </c>
      <c r="G23" s="56">
        <v>2500.0</v>
      </c>
      <c r="H23" s="56">
        <v>3000.0</v>
      </c>
      <c r="I23" s="56">
        <v>2000.0</v>
      </c>
      <c r="J23" s="56">
        <v>2500.0</v>
      </c>
      <c r="K23" s="56">
        <v>3000.0</v>
      </c>
      <c r="L23" s="56">
        <v>3000.0</v>
      </c>
      <c r="M23" s="88">
        <v>3000.0</v>
      </c>
      <c r="N23" s="56">
        <v>3000.0</v>
      </c>
    </row>
    <row r="24" ht="22.5" customHeight="1">
      <c r="A24" s="53">
        <v>21.0</v>
      </c>
      <c r="B24" s="59" t="s">
        <v>157</v>
      </c>
      <c r="C24" s="56">
        <v>2000.0</v>
      </c>
      <c r="D24" s="56">
        <v>2500.0</v>
      </c>
      <c r="E24" s="56">
        <v>3000.0</v>
      </c>
      <c r="F24" s="56">
        <v>2000.0</v>
      </c>
      <c r="G24" s="56">
        <v>2500.0</v>
      </c>
      <c r="H24" s="56">
        <v>3000.0</v>
      </c>
      <c r="I24" s="56">
        <v>2000.0</v>
      </c>
      <c r="J24" s="56">
        <v>2500.0</v>
      </c>
      <c r="K24" s="56">
        <v>3000.0</v>
      </c>
      <c r="L24" s="56">
        <v>3000.0</v>
      </c>
      <c r="M24" s="89">
        <v>3000.0</v>
      </c>
      <c r="N24" s="56">
        <v>3000.0</v>
      </c>
    </row>
    <row r="25" ht="22.5" customHeight="1">
      <c r="A25" s="53">
        <v>22.0</v>
      </c>
      <c r="B25" s="59" t="s">
        <v>166</v>
      </c>
      <c r="C25" s="56">
        <v>2000.0</v>
      </c>
      <c r="D25" s="56">
        <v>2500.0</v>
      </c>
      <c r="E25" s="56">
        <v>3000.0</v>
      </c>
      <c r="F25" s="56">
        <v>2000.0</v>
      </c>
      <c r="G25" s="56">
        <v>2500.0</v>
      </c>
      <c r="H25" s="56">
        <v>3000.0</v>
      </c>
      <c r="I25" s="56">
        <v>2000.0</v>
      </c>
      <c r="J25" s="56">
        <v>2500.0</v>
      </c>
      <c r="K25" s="56">
        <v>3000.0</v>
      </c>
      <c r="L25" s="56">
        <v>3000.0</v>
      </c>
      <c r="M25" s="88">
        <v>3000.0</v>
      </c>
      <c r="N25" s="56">
        <v>3000.0</v>
      </c>
    </row>
    <row r="26" ht="22.5" customHeight="1">
      <c r="A26" s="65"/>
      <c r="B26" s="90" t="s">
        <v>47</v>
      </c>
      <c r="C26" s="91">
        <f t="shared" ref="C26:O26" si="1">SUM(C16:C25)</f>
        <v>20000</v>
      </c>
      <c r="D26" s="91">
        <f t="shared" si="1"/>
        <v>25000</v>
      </c>
      <c r="E26" s="91">
        <f t="shared" si="1"/>
        <v>30000</v>
      </c>
      <c r="F26" s="91">
        <f t="shared" si="1"/>
        <v>20000</v>
      </c>
      <c r="G26" s="91">
        <f t="shared" si="1"/>
        <v>25000</v>
      </c>
      <c r="H26" s="91">
        <f t="shared" si="1"/>
        <v>30000</v>
      </c>
      <c r="I26" s="91">
        <f t="shared" si="1"/>
        <v>20000</v>
      </c>
      <c r="J26" s="91">
        <f t="shared" si="1"/>
        <v>25000</v>
      </c>
      <c r="K26" s="91">
        <f t="shared" si="1"/>
        <v>27000</v>
      </c>
      <c r="L26" s="91">
        <f t="shared" si="1"/>
        <v>27000</v>
      </c>
      <c r="M26" s="91">
        <f t="shared" si="1"/>
        <v>24000</v>
      </c>
      <c r="N26" s="91">
        <f t="shared" si="1"/>
        <v>24000</v>
      </c>
      <c r="O26" s="68">
        <f t="shared" si="1"/>
        <v>0</v>
      </c>
    </row>
    <row r="27" ht="22.5" customHeight="1">
      <c r="A27" s="92"/>
      <c r="B27" s="93" t="s">
        <v>649</v>
      </c>
      <c r="C27" s="91" t="s">
        <v>650</v>
      </c>
      <c r="D27" s="91" t="s">
        <v>651</v>
      </c>
      <c r="E27" s="91" t="s">
        <v>652</v>
      </c>
      <c r="F27" s="91" t="s">
        <v>653</v>
      </c>
      <c r="G27" s="91" t="s">
        <v>654</v>
      </c>
      <c r="H27" s="91" t="s">
        <v>655</v>
      </c>
      <c r="I27" s="91" t="s">
        <v>656</v>
      </c>
      <c r="J27" s="91" t="s">
        <v>657</v>
      </c>
      <c r="K27" s="91" t="s">
        <v>658</v>
      </c>
      <c r="L27" s="91" t="s">
        <v>659</v>
      </c>
      <c r="M27" s="91" t="s">
        <v>660</v>
      </c>
      <c r="N27" s="91" t="s">
        <v>661</v>
      </c>
      <c r="O27" s="94">
        <f>SUM(D27:N27)</f>
        <v>0</v>
      </c>
    </row>
  </sheetData>
  <mergeCells count="1">
    <mergeCell ref="A1:O1"/>
  </mergeCells>
  <conditionalFormatting sqref="A3:A27 B3:B12 C3:L27 M3:M12 N3:N27 O3:O12 B26:B27 M26:M27 O26:O27">
    <cfRule type="cellIs" dxfId="0" priority="1" operator="equal">
      <formula>"TRUE"</formula>
    </cfRule>
  </conditionalFormatting>
  <conditionalFormatting sqref="A3:A27 B3:B12 C3:L27 M3:M12 N3:N27 O3:O12 B26:B27 M26:M27 O26:O27">
    <cfRule type="cellIs" dxfId="1" priority="2" operator="equal">
      <formula>"FALSE"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13.5"/>
    <col customWidth="1" min="3" max="3" width="13.38"/>
    <col customWidth="1" min="4" max="4" width="9.63"/>
    <col customWidth="1" min="5" max="5" width="28.38"/>
    <col customWidth="1" min="6" max="6" width="28.5"/>
    <col customWidth="1" min="7" max="7" width="15.63"/>
    <col customWidth="1" min="8" max="8" width="8.0"/>
    <col customWidth="1" min="9" max="9" width="24.63"/>
    <col customWidth="1" min="10" max="10" width="14.88"/>
    <col customWidth="1" min="11" max="11" width="5.0"/>
    <col customWidth="1" min="12" max="12" width="18.38"/>
    <col customWidth="1" min="13" max="13" width="12.63"/>
  </cols>
  <sheetData>
    <row r="1">
      <c r="A1" s="1" t="s">
        <v>662</v>
      </c>
      <c r="K1" s="2"/>
      <c r="L1" s="2"/>
      <c r="M1" s="2"/>
    </row>
    <row r="2">
      <c r="A2" s="3" t="str">
        <f>CONCATENATE(COUNTIF($A$5:$A$260,TRUE), "/", COUNTA(C5:C2060), " Charity  Collected")</f>
        <v>144/200 Charity  Collected</v>
      </c>
      <c r="E2" s="4" t="s">
        <v>1</v>
      </c>
      <c r="G2" s="5">
        <f>SUMIF(A:A,True,F:F)</f>
        <v>301800</v>
      </c>
      <c r="H2" s="5"/>
      <c r="I2" s="6" t="s">
        <v>663</v>
      </c>
      <c r="J2" s="5">
        <f>Income_Sheet[[#TOTALS],[Amount]]-Expense_Sheet[[#TOTALS],[Amount]]</f>
        <v>117460</v>
      </c>
      <c r="K2" s="5"/>
      <c r="L2" s="5"/>
      <c r="M2" s="2"/>
    </row>
    <row r="3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</row>
    <row r="4" ht="22.5" customHeight="1">
      <c r="A4" s="9" t="s">
        <v>3</v>
      </c>
      <c r="B4" s="9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0" t="s">
        <v>9</v>
      </c>
      <c r="I4" s="12" t="s">
        <v>10</v>
      </c>
      <c r="J4" s="12" t="s">
        <v>8</v>
      </c>
      <c r="L4" s="12" t="s">
        <v>11</v>
      </c>
      <c r="M4" s="13" t="s">
        <v>8</v>
      </c>
    </row>
    <row r="5" ht="22.5" customHeight="1">
      <c r="A5" s="14" t="b">
        <v>1</v>
      </c>
      <c r="B5" s="15">
        <v>1.0</v>
      </c>
      <c r="C5" s="16" t="s">
        <v>12</v>
      </c>
      <c r="D5" s="17" t="s">
        <v>13</v>
      </c>
      <c r="E5" s="18" t="s">
        <v>14</v>
      </c>
      <c r="F5" s="16">
        <v>500.0</v>
      </c>
      <c r="G5" s="19"/>
      <c r="I5" s="20" t="s">
        <v>15</v>
      </c>
      <c r="J5" s="21">
        <v>50000.0</v>
      </c>
      <c r="L5" s="20" t="s">
        <v>16</v>
      </c>
      <c r="M5" s="21">
        <f>G2</f>
        <v>301800</v>
      </c>
    </row>
    <row r="6" ht="22.5" customHeight="1">
      <c r="A6" s="22" t="b">
        <v>0</v>
      </c>
      <c r="B6" s="23">
        <v>2.0</v>
      </c>
      <c r="C6" s="24" t="s">
        <v>17</v>
      </c>
      <c r="D6" s="25" t="s">
        <v>18</v>
      </c>
      <c r="E6" s="26" t="s">
        <v>19</v>
      </c>
      <c r="F6" s="27">
        <v>1000.0</v>
      </c>
      <c r="G6" s="28"/>
      <c r="I6" s="29" t="s">
        <v>20</v>
      </c>
      <c r="J6" s="21">
        <f>100000</f>
        <v>100000</v>
      </c>
      <c r="L6" s="20" t="s">
        <v>21</v>
      </c>
      <c r="M6" s="21">
        <v>15660.0</v>
      </c>
    </row>
    <row r="7" ht="22.5" customHeight="1">
      <c r="A7" s="14" t="b">
        <v>0</v>
      </c>
      <c r="B7" s="15">
        <v>3.0</v>
      </c>
      <c r="C7" s="16" t="s">
        <v>22</v>
      </c>
      <c r="D7" s="17" t="s">
        <v>23</v>
      </c>
      <c r="E7" s="18" t="s">
        <v>24</v>
      </c>
      <c r="F7" s="30">
        <v>2000.0</v>
      </c>
      <c r="G7" s="19"/>
      <c r="I7" s="29" t="s">
        <v>25</v>
      </c>
      <c r="J7" s="21">
        <v>50000.0</v>
      </c>
      <c r="L7" s="31"/>
      <c r="M7" s="21"/>
    </row>
    <row r="8" ht="22.5" customHeight="1">
      <c r="A8" s="22" t="b">
        <v>1</v>
      </c>
      <c r="B8" s="23">
        <v>4.0</v>
      </c>
      <c r="C8" s="24" t="s">
        <v>26</v>
      </c>
      <c r="D8" s="25" t="s">
        <v>27</v>
      </c>
      <c r="E8" s="26" t="s">
        <v>28</v>
      </c>
      <c r="F8" s="27">
        <v>5000.0</v>
      </c>
      <c r="G8" s="28"/>
      <c r="I8" s="29"/>
      <c r="J8" s="21"/>
      <c r="L8" s="31"/>
      <c r="M8" s="21"/>
    </row>
    <row r="9" ht="22.5" customHeight="1">
      <c r="A9" s="14" t="b">
        <v>0</v>
      </c>
      <c r="B9" s="15">
        <v>5.0</v>
      </c>
      <c r="C9" s="16" t="s">
        <v>29</v>
      </c>
      <c r="D9" s="32" t="s">
        <v>30</v>
      </c>
      <c r="E9" s="18" t="s">
        <v>31</v>
      </c>
      <c r="F9" s="16">
        <v>300.0</v>
      </c>
      <c r="G9" s="19"/>
      <c r="I9" s="33"/>
      <c r="J9" s="21"/>
      <c r="L9" s="31"/>
      <c r="M9" s="21"/>
    </row>
    <row r="10" ht="22.5" customHeight="1">
      <c r="A10" s="22" t="b">
        <v>1</v>
      </c>
      <c r="B10" s="23">
        <v>6.0</v>
      </c>
      <c r="C10" s="24" t="s">
        <v>32</v>
      </c>
      <c r="D10" s="34" t="s">
        <v>33</v>
      </c>
      <c r="E10" s="26" t="s">
        <v>34</v>
      </c>
      <c r="F10" s="27">
        <v>1500.0</v>
      </c>
      <c r="G10" s="28"/>
      <c r="I10" s="33"/>
      <c r="J10" s="21"/>
      <c r="L10" s="31"/>
      <c r="M10" s="21"/>
    </row>
    <row r="11" ht="22.5" customHeight="1">
      <c r="A11" s="14" t="b">
        <v>1</v>
      </c>
      <c r="B11" s="15">
        <v>7.0</v>
      </c>
      <c r="C11" s="16" t="s">
        <v>35</v>
      </c>
      <c r="D11" s="32" t="s">
        <v>36</v>
      </c>
      <c r="E11" s="18" t="s">
        <v>37</v>
      </c>
      <c r="F11" s="30">
        <v>2500.0</v>
      </c>
      <c r="G11" s="35"/>
      <c r="I11" s="29"/>
      <c r="J11" s="21"/>
      <c r="L11" s="31"/>
      <c r="M11" s="21"/>
    </row>
    <row r="12" ht="22.5" customHeight="1">
      <c r="A12" s="22" t="b">
        <v>0</v>
      </c>
      <c r="B12" s="23">
        <v>8.0</v>
      </c>
      <c r="C12" s="24" t="s">
        <v>38</v>
      </c>
      <c r="D12" s="34" t="s">
        <v>39</v>
      </c>
      <c r="E12" s="26" t="s">
        <v>40</v>
      </c>
      <c r="F12" s="24">
        <v>200.0</v>
      </c>
      <c r="G12" s="28"/>
      <c r="I12" s="29"/>
      <c r="J12" s="21"/>
      <c r="L12" s="31"/>
      <c r="M12" s="21" t="str">
        <f t="shared" ref="M12:M13" si="1">G9</f>
        <v/>
      </c>
    </row>
    <row r="13" ht="22.5" customHeight="1">
      <c r="A13" s="14" t="b">
        <v>1</v>
      </c>
      <c r="B13" s="15">
        <v>9.0</v>
      </c>
      <c r="C13" s="16" t="s">
        <v>41</v>
      </c>
      <c r="D13" s="32" t="s">
        <v>42</v>
      </c>
      <c r="E13" s="18" t="s">
        <v>43</v>
      </c>
      <c r="F13" s="30">
        <v>1000.0</v>
      </c>
      <c r="G13" s="19"/>
      <c r="I13" s="29"/>
      <c r="J13" s="21"/>
      <c r="L13" s="31"/>
      <c r="M13" s="21" t="str">
        <f t="shared" si="1"/>
        <v/>
      </c>
    </row>
    <row r="14" ht="22.5" customHeight="1">
      <c r="A14" s="22" t="b">
        <v>1</v>
      </c>
      <c r="B14" s="23">
        <v>10.0</v>
      </c>
      <c r="C14" s="24" t="s">
        <v>44</v>
      </c>
      <c r="D14" s="34" t="s">
        <v>45</v>
      </c>
      <c r="E14" s="26" t="s">
        <v>46</v>
      </c>
      <c r="F14" s="27">
        <v>3000.0</v>
      </c>
      <c r="G14" s="28"/>
      <c r="I14" s="36" t="s">
        <v>47</v>
      </c>
      <c r="J14" s="37">
        <f>Sum(Expense_Sheet[Amount])</f>
        <v>200000</v>
      </c>
      <c r="L14" s="31"/>
      <c r="M14" s="21"/>
    </row>
    <row r="15" ht="26.25" customHeight="1">
      <c r="A15" s="14" t="b">
        <v>1</v>
      </c>
      <c r="B15" s="15">
        <v>11.0</v>
      </c>
      <c r="C15" s="16" t="s">
        <v>48</v>
      </c>
      <c r="D15" s="32" t="s">
        <v>49</v>
      </c>
      <c r="E15" s="18" t="s">
        <v>50</v>
      </c>
      <c r="F15" s="16">
        <v>700.0</v>
      </c>
      <c r="G15" s="19"/>
      <c r="L15" s="36" t="s">
        <v>47</v>
      </c>
      <c r="M15" s="37">
        <f>Sum(Income_Sheet[Amount])</f>
        <v>317460</v>
      </c>
    </row>
    <row r="16" ht="26.25" customHeight="1">
      <c r="A16" s="22" t="b">
        <v>1</v>
      </c>
      <c r="B16" s="23">
        <v>12.0</v>
      </c>
      <c r="C16" s="24" t="s">
        <v>51</v>
      </c>
      <c r="D16" s="34" t="s">
        <v>52</v>
      </c>
      <c r="E16" s="26" t="s">
        <v>53</v>
      </c>
      <c r="F16" s="27">
        <v>2000.0</v>
      </c>
      <c r="G16" s="28"/>
    </row>
    <row r="17" ht="26.25" customHeight="1">
      <c r="A17" s="14" t="b">
        <v>1</v>
      </c>
      <c r="B17" s="15">
        <v>13.0</v>
      </c>
      <c r="C17" s="16" t="s">
        <v>54</v>
      </c>
      <c r="D17" s="32" t="s">
        <v>55</v>
      </c>
      <c r="E17" s="18" t="s">
        <v>56</v>
      </c>
      <c r="F17" s="30">
        <v>5000.0</v>
      </c>
      <c r="G17" s="19"/>
    </row>
    <row r="18" ht="26.25" customHeight="1">
      <c r="A18" s="22" t="b">
        <v>1</v>
      </c>
      <c r="B18" s="23">
        <v>14.0</v>
      </c>
      <c r="C18" s="24" t="s">
        <v>57</v>
      </c>
      <c r="D18" s="34" t="s">
        <v>58</v>
      </c>
      <c r="E18" s="26" t="s">
        <v>59</v>
      </c>
      <c r="F18" s="24">
        <v>400.0</v>
      </c>
      <c r="G18" s="28"/>
      <c r="I18" s="38" t="s">
        <v>60</v>
      </c>
      <c r="L18" s="39"/>
      <c r="M18" s="40"/>
    </row>
    <row r="19" ht="26.25" customHeight="1">
      <c r="A19" s="14" t="b">
        <v>1</v>
      </c>
      <c r="B19" s="15">
        <v>15.0</v>
      </c>
      <c r="C19" s="16" t="s">
        <v>61</v>
      </c>
      <c r="D19" s="32" t="s">
        <v>62</v>
      </c>
      <c r="E19" s="18" t="s">
        <v>63</v>
      </c>
      <c r="F19" s="30">
        <v>1200.0</v>
      </c>
      <c r="G19" s="19"/>
    </row>
    <row r="20" ht="26.25" customHeight="1">
      <c r="A20" s="22" t="b">
        <v>1</v>
      </c>
      <c r="B20" s="23">
        <v>16.0</v>
      </c>
      <c r="C20" s="24" t="s">
        <v>64</v>
      </c>
      <c r="D20" s="34" t="s">
        <v>65</v>
      </c>
      <c r="E20" s="26" t="s">
        <v>66</v>
      </c>
      <c r="F20" s="27">
        <v>2500.0</v>
      </c>
      <c r="G20" s="28"/>
    </row>
    <row r="21" ht="26.25" customHeight="1">
      <c r="A21" s="14" t="b">
        <v>1</v>
      </c>
      <c r="B21" s="15">
        <v>17.0</v>
      </c>
      <c r="C21" s="16" t="s">
        <v>67</v>
      </c>
      <c r="D21" s="32" t="s">
        <v>68</v>
      </c>
      <c r="E21" s="18" t="s">
        <v>69</v>
      </c>
      <c r="F21" s="30">
        <v>1000.0</v>
      </c>
      <c r="G21" s="35"/>
    </row>
    <row r="22" ht="26.25" customHeight="1">
      <c r="A22" s="22" t="b">
        <v>1</v>
      </c>
      <c r="B22" s="23">
        <v>18.0</v>
      </c>
      <c r="C22" s="24" t="s">
        <v>70</v>
      </c>
      <c r="D22" s="34" t="s">
        <v>71</v>
      </c>
      <c r="E22" s="26" t="s">
        <v>72</v>
      </c>
      <c r="F22" s="24">
        <v>800.0</v>
      </c>
      <c r="G22" s="28"/>
    </row>
    <row r="23" ht="26.25" customHeight="1">
      <c r="A23" s="14" t="b">
        <v>1</v>
      </c>
      <c r="B23" s="15">
        <v>19.0</v>
      </c>
      <c r="C23" s="16" t="s">
        <v>73</v>
      </c>
      <c r="D23" s="32" t="s">
        <v>74</v>
      </c>
      <c r="E23" s="18" t="s">
        <v>75</v>
      </c>
      <c r="F23" s="30">
        <v>3500.0</v>
      </c>
      <c r="G23" s="19"/>
    </row>
    <row r="24" ht="26.25" customHeight="1">
      <c r="A24" s="22" t="b">
        <v>1</v>
      </c>
      <c r="B24" s="23">
        <v>20.0</v>
      </c>
      <c r="C24" s="24" t="s">
        <v>76</v>
      </c>
      <c r="D24" s="34" t="s">
        <v>77</v>
      </c>
      <c r="E24" s="26" t="s">
        <v>78</v>
      </c>
      <c r="F24" s="24">
        <v>100.0</v>
      </c>
      <c r="G24" s="28"/>
    </row>
    <row r="25" ht="26.25" customHeight="1">
      <c r="A25" s="14" t="b">
        <v>1</v>
      </c>
      <c r="B25" s="15">
        <v>21.0</v>
      </c>
      <c r="C25" s="16" t="s">
        <v>79</v>
      </c>
      <c r="D25" s="32" t="s">
        <v>80</v>
      </c>
      <c r="E25" s="18" t="s">
        <v>81</v>
      </c>
      <c r="F25" s="30">
        <v>1500.0</v>
      </c>
      <c r="G25" s="19"/>
    </row>
    <row r="26" ht="26.25" customHeight="1">
      <c r="A26" s="22" t="b">
        <v>1</v>
      </c>
      <c r="B26" s="23">
        <v>22.0</v>
      </c>
      <c r="C26" s="24" t="s">
        <v>82</v>
      </c>
      <c r="D26" s="34" t="s">
        <v>83</v>
      </c>
      <c r="E26" s="26" t="s">
        <v>84</v>
      </c>
      <c r="F26" s="27">
        <v>2000.0</v>
      </c>
      <c r="G26" s="28"/>
    </row>
    <row r="27" ht="26.25" customHeight="1">
      <c r="A27" s="14" t="b">
        <v>1</v>
      </c>
      <c r="B27" s="15">
        <v>23.0</v>
      </c>
      <c r="C27" s="16" t="s">
        <v>85</v>
      </c>
      <c r="D27" s="32" t="s">
        <v>86</v>
      </c>
      <c r="E27" s="18" t="s">
        <v>87</v>
      </c>
      <c r="F27" s="30">
        <v>5000.0</v>
      </c>
      <c r="G27" s="19"/>
    </row>
    <row r="28" ht="26.25" customHeight="1">
      <c r="A28" s="22" t="b">
        <v>1</v>
      </c>
      <c r="B28" s="23">
        <v>24.0</v>
      </c>
      <c r="C28" s="24" t="s">
        <v>88</v>
      </c>
      <c r="D28" s="34" t="s">
        <v>89</v>
      </c>
      <c r="E28" s="26" t="s">
        <v>90</v>
      </c>
      <c r="F28" s="24">
        <v>600.0</v>
      </c>
      <c r="G28" s="28"/>
    </row>
    <row r="29" ht="26.25" customHeight="1">
      <c r="A29" s="14" t="b">
        <v>1</v>
      </c>
      <c r="B29" s="15">
        <v>25.0</v>
      </c>
      <c r="C29" s="16" t="s">
        <v>91</v>
      </c>
      <c r="D29" s="32" t="s">
        <v>92</v>
      </c>
      <c r="E29" s="18" t="s">
        <v>93</v>
      </c>
      <c r="F29" s="30">
        <v>1000.0</v>
      </c>
      <c r="G29" s="19"/>
    </row>
    <row r="30" ht="26.25" customHeight="1">
      <c r="A30" s="22" t="b">
        <v>1</v>
      </c>
      <c r="B30" s="23">
        <v>26.0</v>
      </c>
      <c r="C30" s="24" t="s">
        <v>94</v>
      </c>
      <c r="D30" s="34" t="s">
        <v>95</v>
      </c>
      <c r="E30" s="26" t="s">
        <v>96</v>
      </c>
      <c r="F30" s="27">
        <v>2200.0</v>
      </c>
      <c r="G30" s="28"/>
    </row>
    <row r="31" ht="26.25" customHeight="1">
      <c r="A31" s="14" t="b">
        <v>1</v>
      </c>
      <c r="B31" s="15">
        <v>27.0</v>
      </c>
      <c r="C31" s="15" t="s">
        <v>97</v>
      </c>
      <c r="D31" s="32" t="s">
        <v>98</v>
      </c>
      <c r="E31" s="18" t="s">
        <v>99</v>
      </c>
      <c r="F31" s="30">
        <v>1500.0</v>
      </c>
      <c r="G31" s="35"/>
    </row>
    <row r="32" ht="26.25" customHeight="1">
      <c r="A32" s="22" t="b">
        <v>1</v>
      </c>
      <c r="B32" s="23">
        <v>28.0</v>
      </c>
      <c r="C32" s="24" t="s">
        <v>100</v>
      </c>
      <c r="D32" s="34" t="s">
        <v>101</v>
      </c>
      <c r="E32" s="26" t="s">
        <v>102</v>
      </c>
      <c r="F32" s="24">
        <v>900.0</v>
      </c>
      <c r="G32" s="28"/>
    </row>
    <row r="33" ht="26.25" customHeight="1">
      <c r="A33" s="14" t="b">
        <v>1</v>
      </c>
      <c r="B33" s="15">
        <v>29.0</v>
      </c>
      <c r="C33" s="16" t="s">
        <v>103</v>
      </c>
      <c r="D33" s="32" t="s">
        <v>104</v>
      </c>
      <c r="E33" s="18" t="s">
        <v>105</v>
      </c>
      <c r="F33" s="30">
        <v>4000.0</v>
      </c>
      <c r="G33" s="35"/>
    </row>
    <row r="34" ht="26.25" customHeight="1">
      <c r="A34" s="22" t="b">
        <v>1</v>
      </c>
      <c r="B34" s="23">
        <v>30.0</v>
      </c>
      <c r="C34" s="24" t="s">
        <v>106</v>
      </c>
      <c r="D34" s="34" t="s">
        <v>107</v>
      </c>
      <c r="E34" s="26" t="s">
        <v>108</v>
      </c>
      <c r="F34" s="27">
        <v>1000.0</v>
      </c>
      <c r="G34" s="28"/>
    </row>
    <row r="35" ht="26.25" customHeight="1">
      <c r="A35" s="14" t="b">
        <v>1</v>
      </c>
      <c r="B35" s="15">
        <v>31.0</v>
      </c>
      <c r="C35" s="16" t="s">
        <v>109</v>
      </c>
      <c r="D35" s="32" t="s">
        <v>110</v>
      </c>
      <c r="E35" s="18" t="s">
        <v>111</v>
      </c>
      <c r="F35" s="30">
        <v>2500.0</v>
      </c>
      <c r="G35" s="19"/>
    </row>
    <row r="36" ht="26.25" customHeight="1">
      <c r="A36" s="22" t="b">
        <v>1</v>
      </c>
      <c r="B36" s="23">
        <v>32.0</v>
      </c>
      <c r="C36" s="24" t="s">
        <v>112</v>
      </c>
      <c r="D36" s="34" t="s">
        <v>113</v>
      </c>
      <c r="E36" s="26" t="s">
        <v>114</v>
      </c>
      <c r="F36" s="27">
        <v>5000.0</v>
      </c>
      <c r="G36" s="28"/>
    </row>
    <row r="37" ht="26.25" customHeight="1">
      <c r="A37" s="14" t="b">
        <v>1</v>
      </c>
      <c r="B37" s="15">
        <v>33.0</v>
      </c>
      <c r="C37" s="16" t="s">
        <v>115</v>
      </c>
      <c r="D37" s="32" t="s">
        <v>116</v>
      </c>
      <c r="E37" s="18" t="s">
        <v>117</v>
      </c>
      <c r="F37" s="16">
        <v>500.0</v>
      </c>
      <c r="G37" s="19"/>
    </row>
    <row r="38" ht="26.25" customHeight="1">
      <c r="A38" s="22" t="b">
        <v>0</v>
      </c>
      <c r="B38" s="23">
        <v>34.0</v>
      </c>
      <c r="C38" s="24" t="s">
        <v>118</v>
      </c>
      <c r="D38" s="34" t="s">
        <v>119</v>
      </c>
      <c r="E38" s="26" t="s">
        <v>120</v>
      </c>
      <c r="F38" s="27">
        <v>1200.0</v>
      </c>
      <c r="G38" s="28"/>
    </row>
    <row r="39" ht="26.25" customHeight="1">
      <c r="A39" s="14" t="b">
        <v>1</v>
      </c>
      <c r="B39" s="15">
        <v>35.0</v>
      </c>
      <c r="C39" s="16" t="s">
        <v>121</v>
      </c>
      <c r="D39" s="32" t="s">
        <v>122</v>
      </c>
      <c r="E39" s="18" t="s">
        <v>123</v>
      </c>
      <c r="F39" s="30">
        <v>3000.0</v>
      </c>
      <c r="G39" s="19"/>
    </row>
    <row r="40" ht="26.25" customHeight="1">
      <c r="A40" s="22" t="b">
        <v>1</v>
      </c>
      <c r="B40" s="23">
        <v>36.0</v>
      </c>
      <c r="C40" s="24" t="s">
        <v>124</v>
      </c>
      <c r="D40" s="34" t="s">
        <v>125</v>
      </c>
      <c r="E40" s="26" t="s">
        <v>126</v>
      </c>
      <c r="F40" s="24">
        <v>200.0</v>
      </c>
      <c r="G40" s="41"/>
    </row>
    <row r="41" ht="26.25" customHeight="1">
      <c r="A41" s="14" t="b">
        <v>1</v>
      </c>
      <c r="B41" s="15">
        <v>37.0</v>
      </c>
      <c r="C41" s="16" t="s">
        <v>127</v>
      </c>
      <c r="D41" s="32" t="s">
        <v>128</v>
      </c>
      <c r="E41" s="18" t="s">
        <v>129</v>
      </c>
      <c r="F41" s="30">
        <v>1000.0</v>
      </c>
      <c r="G41" s="19"/>
    </row>
    <row r="42" ht="26.25" customHeight="1">
      <c r="A42" s="22" t="b">
        <v>0</v>
      </c>
      <c r="B42" s="23">
        <v>38.0</v>
      </c>
      <c r="C42" s="24" t="s">
        <v>130</v>
      </c>
      <c r="D42" s="34" t="s">
        <v>131</v>
      </c>
      <c r="E42" s="26" t="s">
        <v>132</v>
      </c>
      <c r="F42" s="27">
        <v>2000.0</v>
      </c>
      <c r="G42" s="28"/>
    </row>
    <row r="43" ht="26.25" customHeight="1">
      <c r="A43" s="14" t="b">
        <v>0</v>
      </c>
      <c r="B43" s="15">
        <v>39.0</v>
      </c>
      <c r="C43" s="16" t="s">
        <v>133</v>
      </c>
      <c r="D43" s="32" t="s">
        <v>134</v>
      </c>
      <c r="E43" s="18" t="s">
        <v>135</v>
      </c>
      <c r="F43" s="30">
        <v>1800.0</v>
      </c>
      <c r="G43" s="19"/>
    </row>
    <row r="44" ht="26.25" customHeight="1">
      <c r="A44" s="22" t="b">
        <v>0</v>
      </c>
      <c r="B44" s="23">
        <v>40.0</v>
      </c>
      <c r="C44" s="24" t="s">
        <v>136</v>
      </c>
      <c r="D44" s="34" t="s">
        <v>137</v>
      </c>
      <c r="E44" s="26" t="s">
        <v>138</v>
      </c>
      <c r="F44" s="24">
        <v>700.0</v>
      </c>
      <c r="G44" s="41"/>
    </row>
    <row r="45" ht="26.25" customHeight="1">
      <c r="A45" s="14" t="b">
        <v>1</v>
      </c>
      <c r="B45" s="15">
        <v>41.0</v>
      </c>
      <c r="C45" s="16" t="s">
        <v>139</v>
      </c>
      <c r="D45" s="32" t="s">
        <v>140</v>
      </c>
      <c r="E45" s="18" t="s">
        <v>141</v>
      </c>
      <c r="F45" s="30">
        <v>4500.0</v>
      </c>
      <c r="G45" s="19"/>
    </row>
    <row r="46" ht="26.25" customHeight="1">
      <c r="A46" s="22" t="b">
        <v>1</v>
      </c>
      <c r="B46" s="23">
        <v>42.0</v>
      </c>
      <c r="C46" s="24" t="s">
        <v>142</v>
      </c>
      <c r="D46" s="34" t="s">
        <v>143</v>
      </c>
      <c r="E46" s="26" t="s">
        <v>144</v>
      </c>
      <c r="F46" s="27">
        <v>1500.0</v>
      </c>
      <c r="G46" s="41"/>
    </row>
    <row r="47" ht="26.25" customHeight="1">
      <c r="A47" s="14" t="b">
        <v>1</v>
      </c>
      <c r="B47" s="15">
        <v>43.0</v>
      </c>
      <c r="C47" s="16" t="s">
        <v>145</v>
      </c>
      <c r="D47" s="32" t="s">
        <v>146</v>
      </c>
      <c r="E47" s="18" t="s">
        <v>147</v>
      </c>
      <c r="F47" s="30">
        <v>2500.0</v>
      </c>
      <c r="G47" s="19"/>
    </row>
    <row r="48" ht="26.25" customHeight="1">
      <c r="A48" s="22" t="b">
        <v>1</v>
      </c>
      <c r="B48" s="23">
        <v>44.0</v>
      </c>
      <c r="C48" s="24" t="s">
        <v>148</v>
      </c>
      <c r="D48" s="34" t="s">
        <v>149</v>
      </c>
      <c r="E48" s="26" t="s">
        <v>150</v>
      </c>
      <c r="F48" s="27">
        <v>5000.0</v>
      </c>
      <c r="G48" s="28"/>
    </row>
    <row r="49" ht="26.25" customHeight="1">
      <c r="A49" s="14" t="b">
        <v>1</v>
      </c>
      <c r="B49" s="15">
        <v>45.0</v>
      </c>
      <c r="C49" s="16" t="s">
        <v>151</v>
      </c>
      <c r="D49" s="32" t="s">
        <v>152</v>
      </c>
      <c r="E49" s="18" t="s">
        <v>153</v>
      </c>
      <c r="F49" s="16">
        <v>300.0</v>
      </c>
      <c r="G49" s="19"/>
    </row>
    <row r="50" ht="26.25" customHeight="1">
      <c r="A50" s="22" t="b">
        <v>0</v>
      </c>
      <c r="B50" s="23">
        <v>46.0</v>
      </c>
      <c r="C50" s="24" t="s">
        <v>154</v>
      </c>
      <c r="D50" s="34" t="s">
        <v>155</v>
      </c>
      <c r="E50" s="26" t="s">
        <v>156</v>
      </c>
      <c r="F50" s="27">
        <v>1000.0</v>
      </c>
      <c r="G50" s="28"/>
    </row>
    <row r="51" ht="26.25" customHeight="1">
      <c r="A51" s="14" t="b">
        <v>1</v>
      </c>
      <c r="B51" s="15">
        <v>47.0</v>
      </c>
      <c r="C51" s="16" t="s">
        <v>157</v>
      </c>
      <c r="D51" s="32" t="s">
        <v>158</v>
      </c>
      <c r="E51" s="18" t="s">
        <v>159</v>
      </c>
      <c r="F51" s="30">
        <v>3500.0</v>
      </c>
      <c r="G51" s="19"/>
    </row>
    <row r="52" ht="22.5" customHeight="1">
      <c r="A52" s="22" t="b">
        <v>1</v>
      </c>
      <c r="B52" s="23">
        <v>48.0</v>
      </c>
      <c r="C52" s="24" t="s">
        <v>160</v>
      </c>
      <c r="D52" s="34" t="s">
        <v>161</v>
      </c>
      <c r="E52" s="26" t="s">
        <v>162</v>
      </c>
      <c r="F52" s="27">
        <v>1200.0</v>
      </c>
      <c r="G52" s="41"/>
      <c r="H52" s="42"/>
      <c r="I52" s="43"/>
      <c r="J52" s="44"/>
      <c r="K52" s="45"/>
      <c r="L52" s="43"/>
      <c r="M52" s="46"/>
    </row>
    <row r="53" ht="22.5" customHeight="1">
      <c r="A53" s="14" t="b">
        <v>1</v>
      </c>
      <c r="B53" s="15">
        <v>49.0</v>
      </c>
      <c r="C53" s="16" t="s">
        <v>163</v>
      </c>
      <c r="D53" s="32" t="s">
        <v>164</v>
      </c>
      <c r="E53" s="18" t="s">
        <v>165</v>
      </c>
      <c r="F53" s="16">
        <v>600.0</v>
      </c>
      <c r="G53" s="19"/>
    </row>
    <row r="54" ht="22.5" customHeight="1">
      <c r="A54" s="22" t="b">
        <v>0</v>
      </c>
      <c r="B54" s="23">
        <v>50.0</v>
      </c>
      <c r="C54" s="24" t="s">
        <v>166</v>
      </c>
      <c r="D54" s="34" t="s">
        <v>167</v>
      </c>
      <c r="E54" s="26" t="s">
        <v>168</v>
      </c>
      <c r="F54" s="27">
        <v>2000.0</v>
      </c>
      <c r="G54" s="28"/>
    </row>
    <row r="55" ht="22.5" customHeight="1">
      <c r="A55" s="14" t="b">
        <v>1</v>
      </c>
      <c r="B55" s="15">
        <v>51.0</v>
      </c>
      <c r="C55" s="16" t="s">
        <v>169</v>
      </c>
      <c r="D55" s="32" t="s">
        <v>170</v>
      </c>
      <c r="E55" s="18" t="s">
        <v>171</v>
      </c>
      <c r="F55" s="30">
        <v>1000.0</v>
      </c>
      <c r="G55" s="19"/>
    </row>
    <row r="56" ht="22.5" customHeight="1">
      <c r="A56" s="22" t="b">
        <v>0</v>
      </c>
      <c r="B56" s="23">
        <v>52.0</v>
      </c>
      <c r="C56" s="24" t="s">
        <v>172</v>
      </c>
      <c r="D56" s="34" t="s">
        <v>173</v>
      </c>
      <c r="E56" s="26" t="s">
        <v>174</v>
      </c>
      <c r="F56" s="27">
        <v>2800.0</v>
      </c>
      <c r="G56" s="28"/>
    </row>
    <row r="57" ht="22.5" customHeight="1">
      <c r="A57" s="14" t="b">
        <v>0</v>
      </c>
      <c r="B57" s="15">
        <v>53.0</v>
      </c>
      <c r="C57" s="16" t="s">
        <v>175</v>
      </c>
      <c r="D57" s="32" t="s">
        <v>176</v>
      </c>
      <c r="E57" s="18" t="s">
        <v>177</v>
      </c>
      <c r="F57" s="16">
        <v>400.0</v>
      </c>
      <c r="G57" s="19"/>
    </row>
    <row r="58" ht="22.5" customHeight="1">
      <c r="A58" s="22" t="b">
        <v>1</v>
      </c>
      <c r="B58" s="23">
        <v>54.0</v>
      </c>
      <c r="C58" s="24" t="s">
        <v>178</v>
      </c>
      <c r="D58" s="34" t="s">
        <v>179</v>
      </c>
      <c r="E58" s="26" t="s">
        <v>180</v>
      </c>
      <c r="F58" s="27">
        <v>1500.0</v>
      </c>
      <c r="G58" s="28"/>
    </row>
    <row r="59" ht="22.5" customHeight="1">
      <c r="A59" s="14" t="b">
        <v>0</v>
      </c>
      <c r="B59" s="15">
        <v>55.0</v>
      </c>
      <c r="C59" s="16" t="s">
        <v>181</v>
      </c>
      <c r="D59" s="32" t="s">
        <v>182</v>
      </c>
      <c r="E59" s="18" t="s">
        <v>183</v>
      </c>
      <c r="F59" s="30">
        <v>5000.0</v>
      </c>
      <c r="G59" s="19"/>
    </row>
    <row r="60" ht="22.5" customHeight="1">
      <c r="A60" s="22" t="b">
        <v>1</v>
      </c>
      <c r="B60" s="23">
        <v>56.0</v>
      </c>
      <c r="C60" s="24" t="s">
        <v>184</v>
      </c>
      <c r="D60" s="34" t="s">
        <v>185</v>
      </c>
      <c r="E60" s="26" t="s">
        <v>186</v>
      </c>
      <c r="F60" s="24">
        <v>800.0</v>
      </c>
      <c r="G60" s="28"/>
    </row>
    <row r="61" ht="22.5" customHeight="1">
      <c r="A61" s="14" t="b">
        <v>0</v>
      </c>
      <c r="B61" s="15">
        <v>57.0</v>
      </c>
      <c r="C61" s="16" t="s">
        <v>187</v>
      </c>
      <c r="D61" s="32" t="s">
        <v>188</v>
      </c>
      <c r="E61" s="18" t="s">
        <v>189</v>
      </c>
      <c r="F61" s="30">
        <v>2000.0</v>
      </c>
      <c r="G61" s="19"/>
    </row>
    <row r="62" ht="22.5" customHeight="1">
      <c r="A62" s="22" t="b">
        <v>1</v>
      </c>
      <c r="B62" s="23">
        <v>58.0</v>
      </c>
      <c r="C62" s="24" t="s">
        <v>190</v>
      </c>
      <c r="D62" s="34" t="s">
        <v>191</v>
      </c>
      <c r="E62" s="26" t="s">
        <v>192</v>
      </c>
      <c r="F62" s="27">
        <v>3000.0</v>
      </c>
      <c r="G62" s="28"/>
    </row>
    <row r="63" ht="22.5" customHeight="1">
      <c r="A63" s="14" t="b">
        <v>0</v>
      </c>
      <c r="B63" s="15">
        <v>59.0</v>
      </c>
      <c r="C63" s="16" t="s">
        <v>193</v>
      </c>
      <c r="D63" s="32" t="s">
        <v>194</v>
      </c>
      <c r="E63" s="18" t="s">
        <v>195</v>
      </c>
      <c r="F63" s="30">
        <v>1000.0</v>
      </c>
      <c r="G63" s="19"/>
    </row>
    <row r="64" ht="22.5" customHeight="1">
      <c r="A64" s="22" t="b">
        <v>0</v>
      </c>
      <c r="B64" s="23">
        <v>60.0</v>
      </c>
      <c r="C64" s="24" t="s">
        <v>196</v>
      </c>
      <c r="D64" s="34" t="s">
        <v>197</v>
      </c>
      <c r="E64" s="26" t="s">
        <v>198</v>
      </c>
      <c r="F64" s="27">
        <v>1500.0</v>
      </c>
      <c r="G64" s="28"/>
    </row>
    <row r="65" ht="22.5" customHeight="1">
      <c r="A65" s="14" t="b">
        <v>1</v>
      </c>
      <c r="B65" s="15">
        <v>61.0</v>
      </c>
      <c r="C65" s="16" t="s">
        <v>199</v>
      </c>
      <c r="D65" s="32" t="s">
        <v>200</v>
      </c>
      <c r="E65" s="18" t="s">
        <v>201</v>
      </c>
      <c r="F65" s="30">
        <v>2500.0</v>
      </c>
      <c r="G65" s="19"/>
    </row>
    <row r="66" ht="22.5" customHeight="1">
      <c r="A66" s="22" t="b">
        <v>0</v>
      </c>
      <c r="B66" s="23">
        <v>62.0</v>
      </c>
      <c r="C66" s="24" t="s">
        <v>202</v>
      </c>
      <c r="D66" s="34" t="s">
        <v>203</v>
      </c>
      <c r="E66" s="26" t="s">
        <v>204</v>
      </c>
      <c r="F66" s="24">
        <v>200.0</v>
      </c>
      <c r="G66" s="28"/>
    </row>
    <row r="67" ht="22.5" customHeight="1">
      <c r="A67" s="14" t="b">
        <v>1</v>
      </c>
      <c r="B67" s="15">
        <v>63.0</v>
      </c>
      <c r="C67" s="16" t="s">
        <v>205</v>
      </c>
      <c r="D67" s="32" t="s">
        <v>206</v>
      </c>
      <c r="E67" s="18" t="s">
        <v>207</v>
      </c>
      <c r="F67" s="30">
        <v>1000.0</v>
      </c>
      <c r="G67" s="19"/>
    </row>
    <row r="68" ht="22.5" customHeight="1">
      <c r="A68" s="22" t="b">
        <v>1</v>
      </c>
      <c r="B68" s="23">
        <v>64.0</v>
      </c>
      <c r="C68" s="24" t="s">
        <v>208</v>
      </c>
      <c r="D68" s="34" t="s">
        <v>209</v>
      </c>
      <c r="E68" s="26" t="s">
        <v>210</v>
      </c>
      <c r="F68" s="27">
        <v>4000.0</v>
      </c>
      <c r="G68" s="28"/>
    </row>
    <row r="69" ht="22.5" customHeight="1">
      <c r="A69" s="14" t="b">
        <v>0</v>
      </c>
      <c r="B69" s="15">
        <v>65.0</v>
      </c>
      <c r="C69" s="16" t="s">
        <v>211</v>
      </c>
      <c r="D69" s="32" t="s">
        <v>212</v>
      </c>
      <c r="E69" s="18" t="s">
        <v>213</v>
      </c>
      <c r="F69" s="16">
        <v>500.0</v>
      </c>
      <c r="G69" s="19"/>
    </row>
    <row r="70" ht="22.5" customHeight="1">
      <c r="A70" s="22" t="b">
        <v>0</v>
      </c>
      <c r="B70" s="23">
        <v>66.0</v>
      </c>
      <c r="C70" s="24" t="s">
        <v>214</v>
      </c>
      <c r="D70" s="34" t="s">
        <v>215</v>
      </c>
      <c r="E70" s="26" t="s">
        <v>216</v>
      </c>
      <c r="F70" s="27">
        <v>2000.0</v>
      </c>
      <c r="G70" s="28"/>
    </row>
    <row r="71" ht="22.5" customHeight="1">
      <c r="A71" s="14" t="b">
        <v>1</v>
      </c>
      <c r="B71" s="15">
        <v>67.0</v>
      </c>
      <c r="C71" s="16" t="s">
        <v>217</v>
      </c>
      <c r="D71" s="32" t="s">
        <v>218</v>
      </c>
      <c r="E71" s="18" t="s">
        <v>219</v>
      </c>
      <c r="F71" s="30">
        <v>5000.0</v>
      </c>
      <c r="G71" s="19"/>
    </row>
    <row r="72" ht="22.5" customHeight="1">
      <c r="A72" s="22" t="b">
        <v>1</v>
      </c>
      <c r="B72" s="23">
        <v>68.0</v>
      </c>
      <c r="C72" s="24" t="s">
        <v>220</v>
      </c>
      <c r="D72" s="34" t="s">
        <v>221</v>
      </c>
      <c r="E72" s="26" t="s">
        <v>222</v>
      </c>
      <c r="F72" s="27">
        <v>1200.0</v>
      </c>
      <c r="G72" s="41"/>
    </row>
    <row r="73" ht="22.5" customHeight="1">
      <c r="A73" s="14" t="b">
        <v>0</v>
      </c>
      <c r="B73" s="15">
        <v>69.0</v>
      </c>
      <c r="C73" s="16" t="s">
        <v>223</v>
      </c>
      <c r="D73" s="32" t="s">
        <v>224</v>
      </c>
      <c r="E73" s="18" t="s">
        <v>225</v>
      </c>
      <c r="F73" s="16">
        <v>700.0</v>
      </c>
      <c r="G73" s="19"/>
    </row>
    <row r="74" ht="22.5" customHeight="1">
      <c r="A74" s="95" t="b">
        <v>0</v>
      </c>
      <c r="B74" s="23">
        <v>70.0</v>
      </c>
      <c r="C74" s="24" t="s">
        <v>226</v>
      </c>
      <c r="D74" s="34" t="s">
        <v>227</v>
      </c>
      <c r="E74" s="26" t="s">
        <v>228</v>
      </c>
      <c r="F74" s="27">
        <v>3000.0</v>
      </c>
      <c r="G74" s="28"/>
    </row>
    <row r="75" ht="22.5" customHeight="1">
      <c r="A75" s="14" t="b">
        <v>1</v>
      </c>
      <c r="B75" s="15">
        <v>71.0</v>
      </c>
      <c r="C75" s="16" t="s">
        <v>229</v>
      </c>
      <c r="D75" s="32" t="s">
        <v>230</v>
      </c>
      <c r="E75" s="18" t="s">
        <v>231</v>
      </c>
      <c r="F75" s="30">
        <v>1500.0</v>
      </c>
      <c r="G75" s="35"/>
    </row>
    <row r="76" ht="22.5" customHeight="1">
      <c r="A76" s="22" t="b">
        <v>0</v>
      </c>
      <c r="B76" s="23">
        <v>72.0</v>
      </c>
      <c r="C76" s="24" t="s">
        <v>232</v>
      </c>
      <c r="D76" s="34" t="s">
        <v>233</v>
      </c>
      <c r="E76" s="26" t="s">
        <v>234</v>
      </c>
      <c r="F76" s="27">
        <v>2200.0</v>
      </c>
      <c r="G76" s="28"/>
    </row>
    <row r="77" ht="22.5" customHeight="1">
      <c r="A77" s="14" t="b">
        <v>1</v>
      </c>
      <c r="B77" s="15">
        <v>73.0</v>
      </c>
      <c r="C77" s="16" t="s">
        <v>235</v>
      </c>
      <c r="D77" s="32" t="s">
        <v>236</v>
      </c>
      <c r="E77" s="18" t="s">
        <v>237</v>
      </c>
      <c r="F77" s="30">
        <v>1000.0</v>
      </c>
      <c r="G77" s="19"/>
    </row>
    <row r="78" ht="22.5" customHeight="1">
      <c r="A78" s="22" t="b">
        <v>1</v>
      </c>
      <c r="B78" s="23">
        <v>74.0</v>
      </c>
      <c r="C78" s="24" t="s">
        <v>238</v>
      </c>
      <c r="D78" s="34" t="s">
        <v>239</v>
      </c>
      <c r="E78" s="26" t="s">
        <v>240</v>
      </c>
      <c r="F78" s="24">
        <v>900.0</v>
      </c>
      <c r="G78" s="28"/>
    </row>
    <row r="79" ht="22.5" customHeight="1">
      <c r="A79" s="14" t="b">
        <v>1</v>
      </c>
      <c r="B79" s="15">
        <v>75.0</v>
      </c>
      <c r="C79" s="16" t="s">
        <v>241</v>
      </c>
      <c r="D79" s="32" t="s">
        <v>242</v>
      </c>
      <c r="E79" s="18" t="s">
        <v>243</v>
      </c>
      <c r="F79" s="30">
        <v>4500.0</v>
      </c>
      <c r="G79" s="35"/>
    </row>
    <row r="80" ht="22.5" customHeight="1">
      <c r="A80" s="22" t="b">
        <v>1</v>
      </c>
      <c r="B80" s="23">
        <v>76.0</v>
      </c>
      <c r="C80" s="24" t="s">
        <v>244</v>
      </c>
      <c r="D80" s="34" t="s">
        <v>245</v>
      </c>
      <c r="E80" s="26" t="s">
        <v>246</v>
      </c>
      <c r="F80" s="24">
        <v>300.0</v>
      </c>
      <c r="G80" s="41"/>
    </row>
    <row r="81" ht="22.5" customHeight="1">
      <c r="A81" s="14" t="b">
        <v>1</v>
      </c>
      <c r="B81" s="15">
        <v>77.0</v>
      </c>
      <c r="C81" s="16" t="s">
        <v>247</v>
      </c>
      <c r="D81" s="32" t="s">
        <v>248</v>
      </c>
      <c r="E81" s="18" t="s">
        <v>249</v>
      </c>
      <c r="F81" s="30">
        <v>2500.0</v>
      </c>
      <c r="G81" s="19"/>
    </row>
    <row r="82" ht="22.5" customHeight="1">
      <c r="A82" s="22" t="b">
        <v>1</v>
      </c>
      <c r="B82" s="23">
        <v>78.0</v>
      </c>
      <c r="C82" s="24" t="s">
        <v>250</v>
      </c>
      <c r="D82" s="34" t="s">
        <v>251</v>
      </c>
      <c r="E82" s="26" t="s">
        <v>252</v>
      </c>
      <c r="F82" s="27">
        <v>5000.0</v>
      </c>
      <c r="G82" s="28"/>
    </row>
    <row r="83" ht="22.5" customHeight="1">
      <c r="A83" s="14" t="b">
        <v>1</v>
      </c>
      <c r="B83" s="15">
        <v>79.0</v>
      </c>
      <c r="C83" s="16" t="s">
        <v>253</v>
      </c>
      <c r="D83" s="32" t="s">
        <v>254</v>
      </c>
      <c r="E83" s="18" t="s">
        <v>255</v>
      </c>
      <c r="F83" s="30">
        <v>1000.0</v>
      </c>
      <c r="G83" s="19"/>
    </row>
    <row r="84" ht="22.5" customHeight="1">
      <c r="A84" s="22" t="b">
        <v>1</v>
      </c>
      <c r="B84" s="23">
        <v>80.0</v>
      </c>
      <c r="C84" s="24" t="s">
        <v>256</v>
      </c>
      <c r="D84" s="34" t="s">
        <v>257</v>
      </c>
      <c r="E84" s="26" t="s">
        <v>258</v>
      </c>
      <c r="F84" s="27">
        <v>1800.0</v>
      </c>
      <c r="G84" s="28"/>
    </row>
    <row r="85" ht="22.5" customHeight="1">
      <c r="A85" s="14" t="b">
        <v>1</v>
      </c>
      <c r="B85" s="15">
        <v>81.0</v>
      </c>
      <c r="C85" s="16" t="s">
        <v>259</v>
      </c>
      <c r="D85" s="32" t="s">
        <v>260</v>
      </c>
      <c r="E85" s="18" t="s">
        <v>261</v>
      </c>
      <c r="F85" s="30">
        <v>2000.0</v>
      </c>
      <c r="G85" s="35"/>
    </row>
    <row r="86" ht="22.5" customHeight="1">
      <c r="A86" s="22" t="b">
        <v>1</v>
      </c>
      <c r="B86" s="23">
        <v>82.0</v>
      </c>
      <c r="C86" s="24" t="s">
        <v>262</v>
      </c>
      <c r="D86" s="34" t="s">
        <v>263</v>
      </c>
      <c r="E86" s="26" t="s">
        <v>264</v>
      </c>
      <c r="F86" s="24">
        <v>600.0</v>
      </c>
      <c r="G86" s="41"/>
    </row>
    <row r="87" ht="22.5" customHeight="1">
      <c r="A87" s="14" t="b">
        <v>0</v>
      </c>
      <c r="B87" s="15">
        <v>83.0</v>
      </c>
      <c r="C87" s="16" t="s">
        <v>265</v>
      </c>
      <c r="D87" s="32" t="s">
        <v>266</v>
      </c>
      <c r="E87" s="18" t="s">
        <v>267</v>
      </c>
      <c r="F87" s="30">
        <v>3500.0</v>
      </c>
      <c r="G87" s="19"/>
    </row>
    <row r="88" ht="22.5" customHeight="1">
      <c r="A88" s="22" t="b">
        <v>1</v>
      </c>
      <c r="B88" s="23">
        <v>84.0</v>
      </c>
      <c r="C88" s="24" t="s">
        <v>268</v>
      </c>
      <c r="D88" s="34" t="s">
        <v>269</v>
      </c>
      <c r="E88" s="26" t="s">
        <v>270</v>
      </c>
      <c r="F88" s="27">
        <v>1200.0</v>
      </c>
      <c r="G88" s="28"/>
    </row>
    <row r="89" ht="22.5" customHeight="1">
      <c r="A89" s="14" t="b">
        <v>1</v>
      </c>
      <c r="B89" s="15">
        <v>85.0</v>
      </c>
      <c r="C89" s="16" t="s">
        <v>271</v>
      </c>
      <c r="D89" s="32" t="s">
        <v>272</v>
      </c>
      <c r="E89" s="18" t="s">
        <v>273</v>
      </c>
      <c r="F89" s="30">
        <v>2500.0</v>
      </c>
      <c r="G89" s="19"/>
    </row>
    <row r="90" ht="22.5" customHeight="1">
      <c r="A90" s="22" t="b">
        <v>1</v>
      </c>
      <c r="B90" s="23">
        <v>86.0</v>
      </c>
      <c r="C90" s="24" t="s">
        <v>274</v>
      </c>
      <c r="D90" s="34" t="s">
        <v>275</v>
      </c>
      <c r="E90" s="26" t="s">
        <v>276</v>
      </c>
      <c r="F90" s="24">
        <v>400.0</v>
      </c>
      <c r="G90" s="41"/>
    </row>
    <row r="91" ht="22.5" customHeight="1">
      <c r="A91" s="14" t="b">
        <v>0</v>
      </c>
      <c r="B91" s="15">
        <v>87.0</v>
      </c>
      <c r="C91" s="16" t="s">
        <v>277</v>
      </c>
      <c r="D91" s="32" t="s">
        <v>278</v>
      </c>
      <c r="E91" s="18" t="s">
        <v>279</v>
      </c>
      <c r="F91" s="30">
        <v>1000.0</v>
      </c>
      <c r="G91" s="35"/>
    </row>
    <row r="92" ht="22.5" customHeight="1">
      <c r="A92" s="22" t="b">
        <v>1</v>
      </c>
      <c r="B92" s="23">
        <v>88.0</v>
      </c>
      <c r="C92" s="24" t="s">
        <v>280</v>
      </c>
      <c r="D92" s="34" t="s">
        <v>281</v>
      </c>
      <c r="E92" s="26" t="s">
        <v>282</v>
      </c>
      <c r="F92" s="27">
        <v>5000.0</v>
      </c>
      <c r="G92" s="28"/>
    </row>
    <row r="93" ht="22.5" customHeight="1">
      <c r="A93" s="14" t="b">
        <v>1</v>
      </c>
      <c r="B93" s="15">
        <v>89.0</v>
      </c>
      <c r="C93" s="16" t="s">
        <v>283</v>
      </c>
      <c r="D93" s="32" t="s">
        <v>284</v>
      </c>
      <c r="E93" s="18" t="s">
        <v>285</v>
      </c>
      <c r="F93" s="30">
        <v>1500.0</v>
      </c>
      <c r="G93" s="19"/>
    </row>
    <row r="94" ht="22.5" customHeight="1">
      <c r="A94" s="22" t="b">
        <v>0</v>
      </c>
      <c r="B94" s="23">
        <v>90.0</v>
      </c>
      <c r="C94" s="24" t="s">
        <v>286</v>
      </c>
      <c r="D94" s="34" t="s">
        <v>287</v>
      </c>
      <c r="E94" s="26" t="s">
        <v>288</v>
      </c>
      <c r="F94" s="27">
        <v>2000.0</v>
      </c>
      <c r="G94" s="28"/>
    </row>
    <row r="95" ht="22.5" customHeight="1">
      <c r="A95" s="14" t="b">
        <v>1</v>
      </c>
      <c r="B95" s="15">
        <v>91.0</v>
      </c>
      <c r="C95" s="16" t="s">
        <v>289</v>
      </c>
      <c r="D95" s="32" t="s">
        <v>290</v>
      </c>
      <c r="E95" s="18" t="s">
        <v>291</v>
      </c>
      <c r="F95" s="16">
        <v>800.0</v>
      </c>
      <c r="G95" s="19"/>
    </row>
    <row r="96" ht="22.5" customHeight="1">
      <c r="A96" s="22" t="b">
        <v>1</v>
      </c>
      <c r="B96" s="23">
        <v>92.0</v>
      </c>
      <c r="C96" s="24" t="s">
        <v>292</v>
      </c>
      <c r="D96" s="34" t="s">
        <v>293</v>
      </c>
      <c r="E96" s="26" t="s">
        <v>294</v>
      </c>
      <c r="F96" s="27">
        <v>4000.0</v>
      </c>
      <c r="G96" s="28"/>
    </row>
    <row r="97" ht="22.5" customHeight="1">
      <c r="A97" s="14" t="b">
        <v>0</v>
      </c>
      <c r="B97" s="15">
        <v>93.0</v>
      </c>
      <c r="C97" s="16" t="s">
        <v>295</v>
      </c>
      <c r="D97" s="32" t="s">
        <v>296</v>
      </c>
      <c r="E97" s="18" t="s">
        <v>297</v>
      </c>
      <c r="F97" s="30">
        <v>1000.0</v>
      </c>
      <c r="G97" s="19"/>
    </row>
    <row r="98" ht="22.5" customHeight="1">
      <c r="A98" s="22" t="b">
        <v>0</v>
      </c>
      <c r="B98" s="23">
        <v>94.0</v>
      </c>
      <c r="C98" s="24" t="s">
        <v>298</v>
      </c>
      <c r="D98" s="34" t="s">
        <v>299</v>
      </c>
      <c r="E98" s="26" t="s">
        <v>300</v>
      </c>
      <c r="F98" s="27">
        <v>2200.0</v>
      </c>
      <c r="G98" s="28"/>
    </row>
    <row r="99" ht="22.5" customHeight="1">
      <c r="A99" s="14" t="b">
        <v>0</v>
      </c>
      <c r="B99" s="15">
        <v>95.0</v>
      </c>
      <c r="C99" s="16" t="s">
        <v>301</v>
      </c>
      <c r="D99" s="32" t="s">
        <v>302</v>
      </c>
      <c r="E99" s="18" t="s">
        <v>303</v>
      </c>
      <c r="F99" s="16">
        <v>500.0</v>
      </c>
      <c r="G99" s="19"/>
    </row>
    <row r="100" ht="22.5" customHeight="1">
      <c r="A100" s="22" t="b">
        <v>1</v>
      </c>
      <c r="B100" s="23">
        <v>96.0</v>
      </c>
      <c r="C100" s="24" t="s">
        <v>304</v>
      </c>
      <c r="D100" s="34" t="s">
        <v>305</v>
      </c>
      <c r="E100" s="26" t="s">
        <v>306</v>
      </c>
      <c r="F100" s="27">
        <v>3000.0</v>
      </c>
      <c r="G100" s="28"/>
    </row>
    <row r="101" ht="22.5" customHeight="1">
      <c r="A101" s="14" t="b">
        <v>1</v>
      </c>
      <c r="B101" s="15">
        <v>97.0</v>
      </c>
      <c r="C101" s="16" t="s">
        <v>307</v>
      </c>
      <c r="D101" s="32" t="s">
        <v>308</v>
      </c>
      <c r="E101" s="18" t="s">
        <v>309</v>
      </c>
      <c r="F101" s="30">
        <v>1200.0</v>
      </c>
      <c r="G101" s="19"/>
    </row>
    <row r="102" ht="22.5" customHeight="1">
      <c r="A102" s="22" t="b">
        <v>1</v>
      </c>
      <c r="B102" s="23">
        <v>98.0</v>
      </c>
      <c r="C102" s="24" t="s">
        <v>310</v>
      </c>
      <c r="D102" s="34" t="s">
        <v>311</v>
      </c>
      <c r="E102" s="26" t="s">
        <v>312</v>
      </c>
      <c r="F102" s="27">
        <v>2500.0</v>
      </c>
      <c r="G102" s="28"/>
    </row>
    <row r="103" ht="22.5" customHeight="1">
      <c r="A103" s="14" t="b">
        <v>0</v>
      </c>
      <c r="B103" s="15">
        <v>99.0</v>
      </c>
      <c r="C103" s="16" t="s">
        <v>313</v>
      </c>
      <c r="D103" s="32" t="s">
        <v>314</v>
      </c>
      <c r="E103" s="18" t="s">
        <v>315</v>
      </c>
      <c r="F103" s="30">
        <v>5000.0</v>
      </c>
      <c r="G103" s="19"/>
    </row>
    <row r="104" ht="22.5" customHeight="1">
      <c r="A104" s="22" t="b">
        <v>1</v>
      </c>
      <c r="B104" s="23">
        <v>100.0</v>
      </c>
      <c r="C104" s="24" t="s">
        <v>316</v>
      </c>
      <c r="D104" s="34" t="s">
        <v>317</v>
      </c>
      <c r="E104" s="26" t="s">
        <v>318</v>
      </c>
      <c r="F104" s="24">
        <v>700.0</v>
      </c>
      <c r="G104" s="28"/>
    </row>
    <row r="105" ht="22.5" customHeight="1">
      <c r="A105" s="14" t="b">
        <v>0</v>
      </c>
      <c r="B105" s="15">
        <v>101.0</v>
      </c>
      <c r="C105" s="16" t="s">
        <v>319</v>
      </c>
      <c r="D105" s="32" t="s">
        <v>320</v>
      </c>
      <c r="E105" s="18" t="s">
        <v>321</v>
      </c>
      <c r="F105" s="30">
        <v>1000.0</v>
      </c>
      <c r="G105" s="19"/>
    </row>
    <row r="106" ht="22.5" customHeight="1">
      <c r="A106" s="22" t="b">
        <v>1</v>
      </c>
      <c r="B106" s="23">
        <v>102.0</v>
      </c>
      <c r="C106" s="24" t="s">
        <v>322</v>
      </c>
      <c r="D106" s="34" t="s">
        <v>323</v>
      </c>
      <c r="E106" s="26" t="s">
        <v>324</v>
      </c>
      <c r="F106" s="27">
        <v>2000.0</v>
      </c>
      <c r="G106" s="28"/>
    </row>
    <row r="107" ht="22.5" customHeight="1">
      <c r="A107" s="14" t="b">
        <v>1</v>
      </c>
      <c r="B107" s="15">
        <v>103.0</v>
      </c>
      <c r="C107" s="16" t="s">
        <v>325</v>
      </c>
      <c r="D107" s="32" t="s">
        <v>326</v>
      </c>
      <c r="E107" s="18" t="s">
        <v>327</v>
      </c>
      <c r="F107" s="30">
        <v>1500.0</v>
      </c>
      <c r="G107" s="19"/>
    </row>
    <row r="108" ht="22.5" customHeight="1">
      <c r="A108" s="22" t="b">
        <v>0</v>
      </c>
      <c r="B108" s="23">
        <v>104.0</v>
      </c>
      <c r="C108" s="24" t="s">
        <v>328</v>
      </c>
      <c r="D108" s="34" t="s">
        <v>329</v>
      </c>
      <c r="E108" s="26" t="s">
        <v>330</v>
      </c>
      <c r="F108" s="24">
        <v>900.0</v>
      </c>
      <c r="G108" s="28"/>
    </row>
    <row r="109" ht="22.5" customHeight="1">
      <c r="A109" s="14" t="b">
        <v>1</v>
      </c>
      <c r="B109" s="15">
        <v>105.0</v>
      </c>
      <c r="C109" s="16" t="s">
        <v>331</v>
      </c>
      <c r="D109" s="32" t="s">
        <v>332</v>
      </c>
      <c r="E109" s="18" t="s">
        <v>333</v>
      </c>
      <c r="F109" s="30">
        <v>3500.0</v>
      </c>
      <c r="G109" s="19"/>
    </row>
    <row r="110" ht="22.5" customHeight="1">
      <c r="A110" s="22" t="b">
        <v>1</v>
      </c>
      <c r="B110" s="23">
        <v>106.0</v>
      </c>
      <c r="C110" s="24" t="s">
        <v>334</v>
      </c>
      <c r="D110" s="34" t="s">
        <v>335</v>
      </c>
      <c r="E110" s="26" t="s">
        <v>336</v>
      </c>
      <c r="F110" s="24">
        <v>200.0</v>
      </c>
      <c r="G110" s="28"/>
    </row>
    <row r="111" ht="22.5" customHeight="1">
      <c r="A111" s="14" t="b">
        <v>1</v>
      </c>
      <c r="B111" s="15">
        <v>107.0</v>
      </c>
      <c r="C111" s="16" t="s">
        <v>337</v>
      </c>
      <c r="D111" s="32" t="s">
        <v>338</v>
      </c>
      <c r="E111" s="18" t="s">
        <v>339</v>
      </c>
      <c r="F111" s="30">
        <v>2500.0</v>
      </c>
      <c r="G111" s="19"/>
    </row>
    <row r="112" ht="22.5" customHeight="1">
      <c r="A112" s="22" t="b">
        <v>0</v>
      </c>
      <c r="B112" s="23">
        <v>108.0</v>
      </c>
      <c r="C112" s="24" t="s">
        <v>340</v>
      </c>
      <c r="D112" s="34" t="s">
        <v>341</v>
      </c>
      <c r="E112" s="26" t="s">
        <v>342</v>
      </c>
      <c r="F112" s="27">
        <v>1000.0</v>
      </c>
      <c r="G112" s="41"/>
    </row>
    <row r="113" ht="22.5" customHeight="1">
      <c r="A113" s="14" t="b">
        <v>0</v>
      </c>
      <c r="B113" s="15">
        <v>109.0</v>
      </c>
      <c r="C113" s="16" t="s">
        <v>343</v>
      </c>
      <c r="D113" s="32" t="s">
        <v>344</v>
      </c>
      <c r="E113" s="18" t="s">
        <v>345</v>
      </c>
      <c r="F113" s="30">
        <v>4000.0</v>
      </c>
      <c r="G113" s="19"/>
    </row>
    <row r="114" ht="22.5" customHeight="1">
      <c r="A114" s="22" t="b">
        <v>1</v>
      </c>
      <c r="B114" s="23">
        <v>110.0</v>
      </c>
      <c r="C114" s="24" t="s">
        <v>346</v>
      </c>
      <c r="D114" s="34" t="s">
        <v>347</v>
      </c>
      <c r="E114" s="26" t="s">
        <v>348</v>
      </c>
      <c r="F114" s="27">
        <v>1200.0</v>
      </c>
      <c r="G114" s="28"/>
    </row>
    <row r="115" ht="22.5" customHeight="1">
      <c r="A115" s="14" t="b">
        <v>0</v>
      </c>
      <c r="B115" s="15">
        <v>111.0</v>
      </c>
      <c r="C115" s="16" t="s">
        <v>349</v>
      </c>
      <c r="D115" s="32" t="s">
        <v>350</v>
      </c>
      <c r="E115" s="18" t="s">
        <v>351</v>
      </c>
      <c r="F115" s="30">
        <v>2000.0</v>
      </c>
      <c r="G115" s="19"/>
    </row>
    <row r="116" ht="22.5" customHeight="1">
      <c r="A116" s="22" t="b">
        <v>0</v>
      </c>
      <c r="B116" s="23">
        <v>112.0</v>
      </c>
      <c r="C116" s="24" t="s">
        <v>352</v>
      </c>
      <c r="D116" s="34" t="s">
        <v>353</v>
      </c>
      <c r="E116" s="26" t="s">
        <v>354</v>
      </c>
      <c r="F116" s="27">
        <v>5000.0</v>
      </c>
      <c r="G116" s="41"/>
    </row>
    <row r="117" ht="22.5" customHeight="1">
      <c r="A117" s="14" t="b">
        <v>0</v>
      </c>
      <c r="B117" s="15">
        <v>113.0</v>
      </c>
      <c r="C117" s="16" t="s">
        <v>355</v>
      </c>
      <c r="D117" s="32" t="s">
        <v>356</v>
      </c>
      <c r="E117" s="18" t="s">
        <v>357</v>
      </c>
      <c r="F117" s="16">
        <v>600.0</v>
      </c>
      <c r="G117" s="19"/>
    </row>
    <row r="118" ht="22.5" customHeight="1">
      <c r="A118" s="22" t="b">
        <v>1</v>
      </c>
      <c r="B118" s="23">
        <v>114.0</v>
      </c>
      <c r="C118" s="24" t="s">
        <v>358</v>
      </c>
      <c r="D118" s="34" t="s">
        <v>359</v>
      </c>
      <c r="E118" s="26" t="s">
        <v>360</v>
      </c>
      <c r="F118" s="27">
        <v>1500.0</v>
      </c>
      <c r="G118" s="28"/>
    </row>
    <row r="119" ht="22.5" customHeight="1">
      <c r="A119" s="14" t="b">
        <v>1</v>
      </c>
      <c r="B119" s="15">
        <v>115.0</v>
      </c>
      <c r="C119" s="16" t="s">
        <v>361</v>
      </c>
      <c r="D119" s="32" t="s">
        <v>362</v>
      </c>
      <c r="E119" s="18" t="s">
        <v>363</v>
      </c>
      <c r="F119" s="30">
        <v>3000.0</v>
      </c>
      <c r="G119" s="19"/>
    </row>
    <row r="120" ht="22.5" customHeight="1">
      <c r="A120" s="22" t="b">
        <v>0</v>
      </c>
      <c r="B120" s="23">
        <v>116.0</v>
      </c>
      <c r="C120" s="24" t="s">
        <v>364</v>
      </c>
      <c r="D120" s="34" t="s">
        <v>365</v>
      </c>
      <c r="E120" s="26" t="s">
        <v>366</v>
      </c>
      <c r="F120" s="27">
        <v>1000.0</v>
      </c>
    </row>
    <row r="121" ht="22.5" customHeight="1">
      <c r="A121" s="14" t="b">
        <v>0</v>
      </c>
      <c r="B121" s="15">
        <v>117.0</v>
      </c>
      <c r="C121" s="16" t="s">
        <v>367</v>
      </c>
      <c r="D121" s="32" t="s">
        <v>368</v>
      </c>
      <c r="E121" s="18" t="s">
        <v>369</v>
      </c>
      <c r="F121" s="16">
        <v>800.0</v>
      </c>
    </row>
    <row r="122" ht="22.5" customHeight="1">
      <c r="A122" s="22" t="b">
        <v>1</v>
      </c>
      <c r="B122" s="23">
        <v>118.0</v>
      </c>
      <c r="C122" s="24" t="s">
        <v>370</v>
      </c>
      <c r="D122" s="34" t="s">
        <v>371</v>
      </c>
      <c r="E122" s="26" t="s">
        <v>372</v>
      </c>
      <c r="F122" s="27">
        <v>2500.0</v>
      </c>
      <c r="G122" s="28"/>
    </row>
    <row r="123" ht="22.5" customHeight="1">
      <c r="A123" s="14" t="b">
        <v>0</v>
      </c>
      <c r="B123" s="15">
        <v>119.0</v>
      </c>
      <c r="C123" s="16" t="s">
        <v>373</v>
      </c>
      <c r="D123" s="32" t="s">
        <v>374</v>
      </c>
      <c r="E123" s="18" t="s">
        <v>375</v>
      </c>
      <c r="F123" s="16">
        <v>400.0</v>
      </c>
      <c r="G123" s="19"/>
    </row>
    <row r="124" ht="22.5" customHeight="1">
      <c r="A124" s="22" t="b">
        <v>1</v>
      </c>
      <c r="B124" s="23">
        <v>120.0</v>
      </c>
      <c r="C124" s="24" t="s">
        <v>376</v>
      </c>
      <c r="D124" s="34" t="s">
        <v>377</v>
      </c>
      <c r="E124" s="26" t="s">
        <v>378</v>
      </c>
      <c r="F124" s="27">
        <v>4500.0</v>
      </c>
      <c r="G124" s="28"/>
    </row>
    <row r="125" ht="22.5" customHeight="1">
      <c r="A125" s="14" t="b">
        <v>1</v>
      </c>
      <c r="B125" s="15">
        <v>121.0</v>
      </c>
      <c r="C125" s="16" t="s">
        <v>379</v>
      </c>
      <c r="D125" s="32" t="s">
        <v>380</v>
      </c>
      <c r="E125" s="18" t="s">
        <v>381</v>
      </c>
      <c r="F125" s="30">
        <v>1000.0</v>
      </c>
      <c r="G125" s="19"/>
    </row>
    <row r="126" ht="22.5" customHeight="1">
      <c r="A126" s="22" t="b">
        <v>1</v>
      </c>
      <c r="B126" s="23">
        <v>122.0</v>
      </c>
      <c r="C126" s="24" t="s">
        <v>382</v>
      </c>
      <c r="D126" s="34" t="s">
        <v>383</v>
      </c>
      <c r="E126" s="26" t="s">
        <v>384</v>
      </c>
      <c r="F126" s="27">
        <v>2000.0</v>
      </c>
      <c r="G126" s="28"/>
    </row>
    <row r="127" ht="22.5" customHeight="1">
      <c r="A127" s="14" t="b">
        <v>1</v>
      </c>
      <c r="B127" s="15">
        <v>123.0</v>
      </c>
      <c r="C127" s="16" t="s">
        <v>385</v>
      </c>
      <c r="D127" s="32" t="s">
        <v>386</v>
      </c>
      <c r="E127" s="18" t="s">
        <v>387</v>
      </c>
      <c r="F127" s="30">
        <v>5000.0</v>
      </c>
      <c r="G127" s="19"/>
    </row>
    <row r="128" ht="22.5" customHeight="1">
      <c r="A128" s="22" t="b">
        <v>1</v>
      </c>
      <c r="B128" s="23">
        <v>124.0</v>
      </c>
      <c r="C128" s="24" t="s">
        <v>388</v>
      </c>
      <c r="D128" s="34" t="s">
        <v>389</v>
      </c>
      <c r="E128" s="26" t="s">
        <v>390</v>
      </c>
      <c r="F128" s="27">
        <v>1200.0</v>
      </c>
      <c r="G128" s="28"/>
    </row>
    <row r="129" ht="22.5" customHeight="1">
      <c r="A129" s="14" t="b">
        <v>0</v>
      </c>
      <c r="B129" s="15">
        <v>125.0</v>
      </c>
      <c r="C129" s="16" t="s">
        <v>391</v>
      </c>
      <c r="D129" s="32" t="s">
        <v>392</v>
      </c>
      <c r="E129" s="18" t="s">
        <v>393</v>
      </c>
      <c r="F129" s="16">
        <v>700.0</v>
      </c>
      <c r="G129" s="19"/>
    </row>
    <row r="130" ht="22.5" customHeight="1">
      <c r="A130" s="22" t="b">
        <v>1</v>
      </c>
      <c r="B130" s="23">
        <v>126.0</v>
      </c>
      <c r="C130" s="24" t="s">
        <v>394</v>
      </c>
      <c r="D130" s="34" t="s">
        <v>395</v>
      </c>
      <c r="E130" s="26" t="s">
        <v>396</v>
      </c>
      <c r="F130" s="27">
        <v>3500.0</v>
      </c>
      <c r="G130" s="28"/>
    </row>
    <row r="131" ht="22.5" customHeight="1">
      <c r="A131" s="14" t="b">
        <v>0</v>
      </c>
      <c r="B131" s="15">
        <v>127.0</v>
      </c>
      <c r="C131" s="16" t="s">
        <v>397</v>
      </c>
      <c r="D131" s="32" t="s">
        <v>398</v>
      </c>
      <c r="E131" s="18" t="s">
        <v>399</v>
      </c>
      <c r="F131" s="30">
        <v>1500.0</v>
      </c>
      <c r="G131" s="19"/>
    </row>
    <row r="132" ht="22.5" customHeight="1">
      <c r="A132" s="22" t="b">
        <v>1</v>
      </c>
      <c r="B132" s="23">
        <v>128.0</v>
      </c>
      <c r="C132" s="24" t="s">
        <v>400</v>
      </c>
      <c r="D132" s="34" t="s">
        <v>401</v>
      </c>
      <c r="E132" s="26" t="s">
        <v>402</v>
      </c>
      <c r="F132" s="27">
        <v>2200.0</v>
      </c>
      <c r="G132" s="28"/>
    </row>
    <row r="133" ht="22.5" customHeight="1">
      <c r="A133" s="14" t="b">
        <v>0</v>
      </c>
      <c r="B133" s="15">
        <v>129.0</v>
      </c>
      <c r="C133" s="16" t="s">
        <v>403</v>
      </c>
      <c r="D133" s="32" t="s">
        <v>404</v>
      </c>
      <c r="E133" s="18" t="s">
        <v>405</v>
      </c>
      <c r="F133" s="16">
        <v>300.0</v>
      </c>
      <c r="G133" s="19"/>
    </row>
    <row r="134" ht="22.5" customHeight="1">
      <c r="A134" s="22" t="b">
        <v>1</v>
      </c>
      <c r="B134" s="23">
        <v>130.0</v>
      </c>
      <c r="C134" s="24" t="s">
        <v>406</v>
      </c>
      <c r="D134" s="34" t="s">
        <v>407</v>
      </c>
      <c r="E134" s="26" t="s">
        <v>408</v>
      </c>
      <c r="F134" s="27">
        <v>1000.0</v>
      </c>
      <c r="G134" s="28"/>
    </row>
    <row r="135" ht="22.5" customHeight="1">
      <c r="A135" s="14" t="b">
        <v>0</v>
      </c>
      <c r="B135" s="15">
        <v>131.0</v>
      </c>
      <c r="C135" s="16" t="s">
        <v>409</v>
      </c>
      <c r="D135" s="32" t="s">
        <v>410</v>
      </c>
      <c r="E135" s="18" t="s">
        <v>411</v>
      </c>
      <c r="F135" s="30">
        <v>2500.0</v>
      </c>
      <c r="G135" s="19"/>
    </row>
    <row r="136" ht="22.5" customHeight="1">
      <c r="A136" s="22" t="b">
        <v>0</v>
      </c>
      <c r="B136" s="23">
        <v>132.0</v>
      </c>
      <c r="C136" s="24" t="s">
        <v>412</v>
      </c>
      <c r="D136" s="34" t="s">
        <v>413</v>
      </c>
      <c r="E136" s="26" t="s">
        <v>414</v>
      </c>
      <c r="F136" s="27">
        <v>1800.0</v>
      </c>
      <c r="G136" s="28"/>
    </row>
    <row r="137" ht="22.5" customHeight="1">
      <c r="A137" s="14" t="b">
        <v>1</v>
      </c>
      <c r="B137" s="15">
        <v>133.0</v>
      </c>
      <c r="C137" s="16" t="s">
        <v>415</v>
      </c>
      <c r="D137" s="32" t="s">
        <v>416</v>
      </c>
      <c r="E137" s="18" t="s">
        <v>417</v>
      </c>
      <c r="F137" s="16">
        <v>600.0</v>
      </c>
      <c r="G137" s="19"/>
    </row>
    <row r="138" ht="22.5" customHeight="1">
      <c r="A138" s="22" t="b">
        <v>0</v>
      </c>
      <c r="B138" s="23">
        <v>134.0</v>
      </c>
      <c r="C138" s="24" t="s">
        <v>418</v>
      </c>
      <c r="D138" s="34" t="s">
        <v>419</v>
      </c>
      <c r="E138" s="26" t="s">
        <v>420</v>
      </c>
      <c r="F138" s="27">
        <v>4000.0</v>
      </c>
      <c r="G138" s="28"/>
    </row>
    <row r="139" ht="22.5" customHeight="1">
      <c r="A139" s="14" t="b">
        <v>1</v>
      </c>
      <c r="B139" s="15">
        <v>135.0</v>
      </c>
      <c r="C139" s="16" t="s">
        <v>421</v>
      </c>
      <c r="D139" s="32" t="s">
        <v>422</v>
      </c>
      <c r="E139" s="18" t="s">
        <v>423</v>
      </c>
      <c r="F139" s="30">
        <v>1000.0</v>
      </c>
      <c r="G139" s="19"/>
    </row>
    <row r="140" ht="22.5" customHeight="1">
      <c r="A140" s="22" t="b">
        <v>0</v>
      </c>
      <c r="B140" s="23">
        <v>136.0</v>
      </c>
      <c r="C140" s="24" t="s">
        <v>424</v>
      </c>
      <c r="D140" s="34" t="s">
        <v>425</v>
      </c>
      <c r="E140" s="26" t="s">
        <v>426</v>
      </c>
      <c r="F140" s="27">
        <v>2000.0</v>
      </c>
      <c r="G140" s="28"/>
    </row>
    <row r="141" ht="22.5" customHeight="1">
      <c r="A141" s="14" t="b">
        <v>1</v>
      </c>
      <c r="B141" s="15">
        <v>137.0</v>
      </c>
      <c r="C141" s="16" t="s">
        <v>427</v>
      </c>
      <c r="D141" s="32" t="s">
        <v>428</v>
      </c>
      <c r="E141" s="18" t="s">
        <v>429</v>
      </c>
      <c r="F141" s="30">
        <v>5000.0</v>
      </c>
      <c r="G141" s="19"/>
    </row>
    <row r="142" ht="22.5" customHeight="1">
      <c r="A142" s="22" t="b">
        <v>0</v>
      </c>
      <c r="B142" s="23">
        <v>138.0</v>
      </c>
      <c r="C142" s="24" t="s">
        <v>430</v>
      </c>
      <c r="D142" s="34" t="s">
        <v>431</v>
      </c>
      <c r="E142" s="26" t="s">
        <v>432</v>
      </c>
      <c r="F142" s="24">
        <v>500.0</v>
      </c>
      <c r="G142" s="28"/>
    </row>
    <row r="143" ht="22.5" customHeight="1">
      <c r="A143" s="14" t="b">
        <v>1</v>
      </c>
      <c r="B143" s="15">
        <v>139.0</v>
      </c>
      <c r="C143" s="16" t="s">
        <v>433</v>
      </c>
      <c r="D143" s="32" t="s">
        <v>434</v>
      </c>
      <c r="E143" s="18" t="s">
        <v>435</v>
      </c>
      <c r="F143" s="30">
        <v>1500.0</v>
      </c>
      <c r="G143" s="19"/>
    </row>
    <row r="144" ht="22.5" customHeight="1">
      <c r="A144" s="22" t="b">
        <v>1</v>
      </c>
      <c r="B144" s="23">
        <v>140.0</v>
      </c>
      <c r="C144" s="24" t="s">
        <v>436</v>
      </c>
      <c r="D144" s="34" t="s">
        <v>437</v>
      </c>
      <c r="E144" s="26" t="s">
        <v>438</v>
      </c>
      <c r="F144" s="27">
        <v>3000.0</v>
      </c>
      <c r="G144" s="28"/>
    </row>
    <row r="145" ht="22.5" customHeight="1">
      <c r="A145" s="14" t="b">
        <v>1</v>
      </c>
      <c r="B145" s="15">
        <v>141.0</v>
      </c>
      <c r="C145" s="16" t="s">
        <v>439</v>
      </c>
      <c r="D145" s="32" t="s">
        <v>440</v>
      </c>
      <c r="E145" s="18" t="s">
        <v>441</v>
      </c>
      <c r="F145" s="30">
        <v>1200.0</v>
      </c>
      <c r="G145" s="19"/>
    </row>
    <row r="146" ht="22.5" customHeight="1">
      <c r="A146" s="22" t="b">
        <v>1</v>
      </c>
      <c r="B146" s="23">
        <v>142.0</v>
      </c>
      <c r="C146" s="24" t="s">
        <v>442</v>
      </c>
      <c r="D146" s="34" t="s">
        <v>443</v>
      </c>
      <c r="E146" s="26" t="s">
        <v>444</v>
      </c>
      <c r="F146" s="24">
        <v>900.0</v>
      </c>
      <c r="G146" s="28"/>
    </row>
    <row r="147" ht="22.5" customHeight="1">
      <c r="A147" s="14" t="b">
        <v>1</v>
      </c>
      <c r="B147" s="15">
        <v>143.0</v>
      </c>
      <c r="C147" s="16" t="s">
        <v>445</v>
      </c>
      <c r="D147" s="32" t="s">
        <v>446</v>
      </c>
      <c r="E147" s="18" t="s">
        <v>447</v>
      </c>
      <c r="F147" s="30">
        <v>2500.0</v>
      </c>
      <c r="G147" s="19"/>
    </row>
    <row r="148" ht="22.5" customHeight="1">
      <c r="A148" s="22" t="b">
        <v>1</v>
      </c>
      <c r="B148" s="23">
        <v>144.0</v>
      </c>
      <c r="C148" s="24" t="s">
        <v>448</v>
      </c>
      <c r="D148" s="34" t="s">
        <v>449</v>
      </c>
      <c r="E148" s="26" t="s">
        <v>450</v>
      </c>
      <c r="F148" s="24">
        <v>200.0</v>
      </c>
      <c r="G148" s="28"/>
    </row>
    <row r="149" ht="22.5" customHeight="1">
      <c r="A149" s="14" t="b">
        <v>1</v>
      </c>
      <c r="B149" s="15">
        <v>145.0</v>
      </c>
      <c r="C149" s="16" t="s">
        <v>451</v>
      </c>
      <c r="D149" s="32" t="s">
        <v>452</v>
      </c>
      <c r="E149" s="18" t="s">
        <v>453</v>
      </c>
      <c r="F149" s="30">
        <v>1000.0</v>
      </c>
      <c r="G149" s="19"/>
    </row>
    <row r="150" ht="22.5" customHeight="1">
      <c r="A150" s="22" t="b">
        <v>1</v>
      </c>
      <c r="B150" s="23">
        <v>146.0</v>
      </c>
      <c r="C150" s="24" t="s">
        <v>454</v>
      </c>
      <c r="D150" s="34" t="s">
        <v>455</v>
      </c>
      <c r="E150" s="26" t="s">
        <v>456</v>
      </c>
      <c r="F150" s="27">
        <v>4500.0</v>
      </c>
      <c r="G150" s="28"/>
    </row>
    <row r="151" ht="22.5" customHeight="1">
      <c r="A151" s="14" t="b">
        <v>1</v>
      </c>
      <c r="B151" s="15">
        <v>147.0</v>
      </c>
      <c r="C151" s="16" t="s">
        <v>457</v>
      </c>
      <c r="D151" s="32" t="s">
        <v>458</v>
      </c>
      <c r="E151" s="18" t="s">
        <v>459</v>
      </c>
      <c r="F151" s="30">
        <v>2000.0</v>
      </c>
      <c r="G151" s="19"/>
    </row>
    <row r="152" ht="22.5" customHeight="1">
      <c r="A152" s="22" t="b">
        <v>0</v>
      </c>
      <c r="B152" s="23">
        <v>148.0</v>
      </c>
      <c r="C152" s="24" t="s">
        <v>460</v>
      </c>
      <c r="D152" s="34" t="s">
        <v>461</v>
      </c>
      <c r="E152" s="26" t="s">
        <v>462</v>
      </c>
      <c r="F152" s="27">
        <v>5000.0</v>
      </c>
      <c r="G152" s="28"/>
    </row>
    <row r="153" ht="22.5" customHeight="1">
      <c r="A153" s="14" t="b">
        <v>0</v>
      </c>
      <c r="B153" s="15">
        <v>149.0</v>
      </c>
      <c r="C153" s="16" t="s">
        <v>463</v>
      </c>
      <c r="D153" s="32" t="s">
        <v>464</v>
      </c>
      <c r="E153" s="18" t="s">
        <v>465</v>
      </c>
      <c r="F153" s="16">
        <v>700.0</v>
      </c>
      <c r="G153" s="19"/>
    </row>
    <row r="154" ht="22.5" customHeight="1">
      <c r="A154" s="22" t="b">
        <v>0</v>
      </c>
      <c r="B154" s="23">
        <v>150.0</v>
      </c>
      <c r="C154" s="24" t="s">
        <v>466</v>
      </c>
      <c r="D154" s="34" t="s">
        <v>467</v>
      </c>
      <c r="E154" s="26" t="s">
        <v>468</v>
      </c>
      <c r="F154" s="27">
        <v>1500.0</v>
      </c>
      <c r="G154" s="28"/>
    </row>
    <row r="155" ht="22.5" customHeight="1">
      <c r="A155" s="14" t="b">
        <v>0</v>
      </c>
      <c r="B155" s="15">
        <v>151.0</v>
      </c>
      <c r="C155" s="16" t="s">
        <v>469</v>
      </c>
      <c r="D155" s="32" t="s">
        <v>470</v>
      </c>
      <c r="E155" s="18" t="s">
        <v>471</v>
      </c>
      <c r="F155" s="30">
        <v>3500.0</v>
      </c>
      <c r="G155" s="19"/>
    </row>
    <row r="156" ht="22.5" customHeight="1">
      <c r="A156" s="22" t="b">
        <v>0</v>
      </c>
      <c r="B156" s="23">
        <v>152.0</v>
      </c>
      <c r="C156" s="24" t="s">
        <v>472</v>
      </c>
      <c r="D156" s="34" t="s">
        <v>473</v>
      </c>
      <c r="E156" s="26" t="s">
        <v>474</v>
      </c>
      <c r="F156" s="27">
        <v>1000.0</v>
      </c>
      <c r="G156" s="28"/>
    </row>
    <row r="157" ht="22.5" customHeight="1">
      <c r="A157" s="14" t="b">
        <v>1</v>
      </c>
      <c r="B157" s="15">
        <v>153.0</v>
      </c>
      <c r="C157" s="16" t="s">
        <v>475</v>
      </c>
      <c r="D157" s="32" t="s">
        <v>476</v>
      </c>
      <c r="E157" s="18" t="s">
        <v>477</v>
      </c>
      <c r="F157" s="16">
        <v>800.0</v>
      </c>
      <c r="G157" s="19"/>
    </row>
    <row r="158" ht="22.5" customHeight="1">
      <c r="A158" s="22" t="b">
        <v>0</v>
      </c>
      <c r="B158" s="23">
        <v>154.0</v>
      </c>
      <c r="C158" s="24" t="s">
        <v>478</v>
      </c>
      <c r="D158" s="34" t="s">
        <v>479</v>
      </c>
      <c r="E158" s="26" t="s">
        <v>480</v>
      </c>
      <c r="F158" s="27">
        <v>2200.0</v>
      </c>
      <c r="G158" s="28"/>
    </row>
    <row r="159" ht="22.5" customHeight="1">
      <c r="A159" s="14" t="b">
        <v>1</v>
      </c>
      <c r="B159" s="15">
        <v>155.0</v>
      </c>
      <c r="C159" s="16" t="s">
        <v>481</v>
      </c>
      <c r="D159" s="32" t="s">
        <v>482</v>
      </c>
      <c r="E159" s="18" t="s">
        <v>483</v>
      </c>
      <c r="F159" s="30">
        <v>1200.0</v>
      </c>
      <c r="G159" s="19"/>
    </row>
    <row r="160" ht="22.5" customHeight="1">
      <c r="A160" s="22" t="b">
        <v>1</v>
      </c>
      <c r="B160" s="23">
        <v>156.0</v>
      </c>
      <c r="C160" s="24" t="s">
        <v>484</v>
      </c>
      <c r="D160" s="34" t="s">
        <v>485</v>
      </c>
      <c r="E160" s="26" t="s">
        <v>486</v>
      </c>
      <c r="F160" s="27">
        <v>4000.0</v>
      </c>
      <c r="G160" s="28"/>
    </row>
    <row r="161" ht="22.5" customHeight="1">
      <c r="A161" s="14" t="b">
        <v>0</v>
      </c>
      <c r="B161" s="15">
        <v>157.0</v>
      </c>
      <c r="C161" s="16" t="s">
        <v>487</v>
      </c>
      <c r="D161" s="32" t="s">
        <v>488</v>
      </c>
      <c r="E161" s="18" t="s">
        <v>489</v>
      </c>
      <c r="F161" s="16">
        <v>500.0</v>
      </c>
      <c r="G161" s="19"/>
    </row>
    <row r="162" ht="22.5" customHeight="1">
      <c r="A162" s="22" t="b">
        <v>1</v>
      </c>
      <c r="B162" s="23">
        <v>158.0</v>
      </c>
      <c r="C162" s="24" t="s">
        <v>490</v>
      </c>
      <c r="D162" s="34" t="s">
        <v>491</v>
      </c>
      <c r="E162" s="26" t="s">
        <v>492</v>
      </c>
      <c r="F162" s="27">
        <v>2500.0</v>
      </c>
      <c r="G162" s="28"/>
    </row>
    <row r="163" ht="22.5" customHeight="1">
      <c r="A163" s="14" t="b">
        <v>1</v>
      </c>
      <c r="B163" s="15">
        <v>159.0</v>
      </c>
      <c r="C163" s="16" t="s">
        <v>493</v>
      </c>
      <c r="D163" s="32" t="s">
        <v>494</v>
      </c>
      <c r="E163" s="18" t="s">
        <v>495</v>
      </c>
      <c r="F163" s="30">
        <v>5000.0</v>
      </c>
      <c r="G163" s="19"/>
    </row>
    <row r="164" ht="22.5" customHeight="1">
      <c r="A164" s="22" t="b">
        <v>0</v>
      </c>
      <c r="B164" s="23">
        <v>160.0</v>
      </c>
      <c r="C164" s="24" t="s">
        <v>496</v>
      </c>
      <c r="D164" s="34" t="s">
        <v>497</v>
      </c>
      <c r="E164" s="26" t="s">
        <v>498</v>
      </c>
      <c r="F164" s="27">
        <v>1000.0</v>
      </c>
      <c r="G164" s="28"/>
    </row>
    <row r="165" ht="22.5" customHeight="1">
      <c r="A165" s="14" t="b">
        <v>0</v>
      </c>
      <c r="B165" s="15">
        <v>161.0</v>
      </c>
      <c r="C165" s="16" t="s">
        <v>499</v>
      </c>
      <c r="D165" s="32" t="s">
        <v>500</v>
      </c>
      <c r="E165" s="18" t="s">
        <v>501</v>
      </c>
      <c r="F165" s="30">
        <v>1500.0</v>
      </c>
      <c r="G165" s="19"/>
    </row>
    <row r="166" ht="22.5" customHeight="1">
      <c r="A166" s="22" t="b">
        <v>1</v>
      </c>
      <c r="B166" s="23">
        <v>162.0</v>
      </c>
      <c r="C166" s="24" t="s">
        <v>502</v>
      </c>
      <c r="D166" s="34" t="s">
        <v>503</v>
      </c>
      <c r="E166" s="26" t="s">
        <v>504</v>
      </c>
      <c r="F166" s="27">
        <v>3000.0</v>
      </c>
      <c r="G166" s="28"/>
    </row>
    <row r="167" ht="22.5" customHeight="1">
      <c r="A167" s="14" t="b">
        <v>1</v>
      </c>
      <c r="B167" s="15">
        <v>163.0</v>
      </c>
      <c r="C167" s="16" t="s">
        <v>505</v>
      </c>
      <c r="D167" s="32" t="s">
        <v>506</v>
      </c>
      <c r="E167" s="18" t="s">
        <v>507</v>
      </c>
      <c r="F167" s="16">
        <v>600.0</v>
      </c>
      <c r="G167" s="19"/>
    </row>
    <row r="168" ht="22.5" customHeight="1">
      <c r="A168" s="22" t="b">
        <v>1</v>
      </c>
      <c r="B168" s="23">
        <v>164.0</v>
      </c>
      <c r="C168" s="24" t="s">
        <v>508</v>
      </c>
      <c r="D168" s="34" t="s">
        <v>509</v>
      </c>
      <c r="E168" s="26" t="s">
        <v>510</v>
      </c>
      <c r="F168" s="27">
        <v>2000.0</v>
      </c>
      <c r="G168" s="28"/>
    </row>
    <row r="169" ht="22.5" customHeight="1">
      <c r="A169" s="14" t="b">
        <v>1</v>
      </c>
      <c r="B169" s="15">
        <v>165.0</v>
      </c>
      <c r="C169" s="16" t="s">
        <v>511</v>
      </c>
      <c r="D169" s="32" t="s">
        <v>512</v>
      </c>
      <c r="E169" s="18" t="s">
        <v>513</v>
      </c>
      <c r="F169" s="30">
        <v>1200.0</v>
      </c>
      <c r="G169" s="19"/>
    </row>
    <row r="170" ht="22.5" customHeight="1">
      <c r="A170" s="22" t="b">
        <v>1</v>
      </c>
      <c r="B170" s="23">
        <v>166.0</v>
      </c>
      <c r="C170" s="24" t="s">
        <v>514</v>
      </c>
      <c r="D170" s="34" t="s">
        <v>515</v>
      </c>
      <c r="E170" s="26" t="s">
        <v>516</v>
      </c>
      <c r="F170" s="27">
        <v>4500.0</v>
      </c>
      <c r="G170" s="28"/>
    </row>
    <row r="171" ht="22.5" customHeight="1">
      <c r="A171" s="14" t="b">
        <v>1</v>
      </c>
      <c r="B171" s="15">
        <v>167.0</v>
      </c>
      <c r="C171" s="16" t="s">
        <v>517</v>
      </c>
      <c r="D171" s="32" t="s">
        <v>518</v>
      </c>
      <c r="E171" s="18" t="s">
        <v>519</v>
      </c>
      <c r="F171" s="16">
        <v>300.0</v>
      </c>
      <c r="G171" s="19"/>
    </row>
    <row r="172" ht="22.5" customHeight="1">
      <c r="A172" s="22" t="b">
        <v>1</v>
      </c>
      <c r="B172" s="23">
        <v>168.0</v>
      </c>
      <c r="C172" s="24" t="s">
        <v>520</v>
      </c>
      <c r="D172" s="34" t="s">
        <v>521</v>
      </c>
      <c r="E172" s="26" t="s">
        <v>522</v>
      </c>
      <c r="F172" s="27">
        <v>1000.0</v>
      </c>
      <c r="G172" s="28"/>
    </row>
    <row r="173" ht="22.5" customHeight="1">
      <c r="A173" s="14" t="b">
        <v>1</v>
      </c>
      <c r="B173" s="15">
        <v>169.0</v>
      </c>
      <c r="C173" s="16" t="s">
        <v>523</v>
      </c>
      <c r="D173" s="32" t="s">
        <v>524</v>
      </c>
      <c r="E173" s="18" t="s">
        <v>525</v>
      </c>
      <c r="F173" s="30">
        <v>2500.0</v>
      </c>
      <c r="G173" s="19"/>
    </row>
    <row r="174" ht="22.5" customHeight="1">
      <c r="A174" s="22" t="b">
        <v>1</v>
      </c>
      <c r="B174" s="23">
        <v>170.0</v>
      </c>
      <c r="C174" s="24" t="s">
        <v>526</v>
      </c>
      <c r="D174" s="34" t="s">
        <v>527</v>
      </c>
      <c r="E174" s="26" t="s">
        <v>528</v>
      </c>
      <c r="F174" s="27">
        <v>5000.0</v>
      </c>
      <c r="G174" s="28"/>
    </row>
    <row r="175" ht="22.5" customHeight="1">
      <c r="A175" s="14" t="b">
        <v>1</v>
      </c>
      <c r="B175" s="15">
        <v>171.0</v>
      </c>
      <c r="C175" s="16" t="s">
        <v>529</v>
      </c>
      <c r="D175" s="32" t="s">
        <v>530</v>
      </c>
      <c r="E175" s="18" t="s">
        <v>531</v>
      </c>
      <c r="F175" s="30">
        <v>1500.0</v>
      </c>
      <c r="G175" s="19"/>
    </row>
    <row r="176" ht="22.5" customHeight="1">
      <c r="A176" s="22" t="b">
        <v>1</v>
      </c>
      <c r="B176" s="23">
        <v>172.0</v>
      </c>
      <c r="C176" s="24" t="s">
        <v>532</v>
      </c>
      <c r="D176" s="34" t="s">
        <v>533</v>
      </c>
      <c r="E176" s="26" t="s">
        <v>534</v>
      </c>
      <c r="F176" s="27">
        <v>2000.0</v>
      </c>
      <c r="G176" s="28"/>
    </row>
    <row r="177" ht="22.5" customHeight="1">
      <c r="A177" s="14" t="b">
        <v>1</v>
      </c>
      <c r="B177" s="15">
        <v>173.0</v>
      </c>
      <c r="C177" s="16" t="s">
        <v>535</v>
      </c>
      <c r="D177" s="32" t="s">
        <v>536</v>
      </c>
      <c r="E177" s="18" t="s">
        <v>537</v>
      </c>
      <c r="F177" s="16">
        <v>700.0</v>
      </c>
      <c r="G177" s="19"/>
    </row>
    <row r="178" ht="22.5" customHeight="1">
      <c r="A178" s="22" t="b">
        <v>1</v>
      </c>
      <c r="B178" s="23">
        <v>174.0</v>
      </c>
      <c r="C178" s="24" t="s">
        <v>538</v>
      </c>
      <c r="D178" s="34" t="s">
        <v>539</v>
      </c>
      <c r="E178" s="26" t="s">
        <v>540</v>
      </c>
      <c r="F178" s="27">
        <v>3500.0</v>
      </c>
      <c r="G178" s="28"/>
    </row>
    <row r="179" ht="22.5" customHeight="1">
      <c r="A179" s="14" t="b">
        <v>1</v>
      </c>
      <c r="B179" s="15">
        <v>175.0</v>
      </c>
      <c r="C179" s="16" t="s">
        <v>541</v>
      </c>
      <c r="D179" s="32" t="s">
        <v>542</v>
      </c>
      <c r="E179" s="18" t="s">
        <v>543</v>
      </c>
      <c r="F179" s="30">
        <v>1000.0</v>
      </c>
      <c r="G179" s="19"/>
    </row>
    <row r="180" ht="22.5" customHeight="1">
      <c r="A180" s="22" t="b">
        <v>1</v>
      </c>
      <c r="B180" s="23">
        <v>176.0</v>
      </c>
      <c r="C180" s="24" t="s">
        <v>544</v>
      </c>
      <c r="D180" s="34" t="s">
        <v>545</v>
      </c>
      <c r="E180" s="26" t="s">
        <v>546</v>
      </c>
      <c r="F180" s="27">
        <v>2200.0</v>
      </c>
      <c r="G180" s="28"/>
    </row>
    <row r="181" ht="22.5" customHeight="1">
      <c r="A181" s="14" t="b">
        <v>1</v>
      </c>
      <c r="B181" s="15">
        <v>177.0</v>
      </c>
      <c r="C181" s="16" t="s">
        <v>547</v>
      </c>
      <c r="D181" s="32" t="s">
        <v>548</v>
      </c>
      <c r="E181" s="18" t="s">
        <v>549</v>
      </c>
      <c r="F181" s="16">
        <v>400.0</v>
      </c>
      <c r="G181" s="19"/>
    </row>
    <row r="182" ht="22.5" customHeight="1">
      <c r="A182" s="22" t="b">
        <v>1</v>
      </c>
      <c r="B182" s="23">
        <v>178.0</v>
      </c>
      <c r="C182" s="24" t="s">
        <v>550</v>
      </c>
      <c r="D182" s="34" t="s">
        <v>551</v>
      </c>
      <c r="E182" s="26" t="s">
        <v>552</v>
      </c>
      <c r="F182" s="27">
        <v>1200.0</v>
      </c>
      <c r="G182" s="28"/>
    </row>
    <row r="183" ht="22.5" customHeight="1">
      <c r="A183" s="14" t="b">
        <v>1</v>
      </c>
      <c r="B183" s="15">
        <v>179.0</v>
      </c>
      <c r="C183" s="16" t="s">
        <v>553</v>
      </c>
      <c r="D183" s="32" t="s">
        <v>554</v>
      </c>
      <c r="E183" s="18" t="s">
        <v>555</v>
      </c>
      <c r="F183" s="30">
        <v>4000.0</v>
      </c>
      <c r="G183" s="19"/>
    </row>
    <row r="184" ht="22.5" customHeight="1">
      <c r="A184" s="22" t="b">
        <v>1</v>
      </c>
      <c r="B184" s="23">
        <v>180.0</v>
      </c>
      <c r="C184" s="24" t="s">
        <v>556</v>
      </c>
      <c r="D184" s="34" t="s">
        <v>557</v>
      </c>
      <c r="E184" s="26" t="s">
        <v>558</v>
      </c>
      <c r="F184" s="27">
        <v>1500.0</v>
      </c>
      <c r="G184" s="28"/>
    </row>
    <row r="185" ht="22.5" customHeight="1">
      <c r="A185" s="14" t="b">
        <v>1</v>
      </c>
      <c r="B185" s="15">
        <v>181.0</v>
      </c>
      <c r="C185" s="16" t="s">
        <v>559</v>
      </c>
      <c r="D185" s="32" t="s">
        <v>560</v>
      </c>
      <c r="E185" s="18" t="s">
        <v>561</v>
      </c>
      <c r="F185" s="30">
        <v>2500.0</v>
      </c>
      <c r="G185" s="19"/>
    </row>
    <row r="186" ht="22.5" customHeight="1">
      <c r="A186" s="22" t="b">
        <v>1</v>
      </c>
      <c r="B186" s="23">
        <v>182.0</v>
      </c>
      <c r="C186" s="24" t="s">
        <v>562</v>
      </c>
      <c r="D186" s="34" t="s">
        <v>563</v>
      </c>
      <c r="E186" s="26" t="s">
        <v>564</v>
      </c>
      <c r="F186" s="27">
        <v>5000.0</v>
      </c>
      <c r="G186" s="28"/>
    </row>
    <row r="187" ht="22.5" customHeight="1">
      <c r="A187" s="14" t="b">
        <v>1</v>
      </c>
      <c r="B187" s="15">
        <v>183.0</v>
      </c>
      <c r="C187" s="16" t="s">
        <v>565</v>
      </c>
      <c r="D187" s="32" t="s">
        <v>566</v>
      </c>
      <c r="E187" s="18" t="s">
        <v>567</v>
      </c>
      <c r="F187" s="16">
        <v>800.0</v>
      </c>
      <c r="G187" s="19"/>
    </row>
    <row r="188" ht="22.5" customHeight="1">
      <c r="A188" s="22" t="b">
        <v>1</v>
      </c>
      <c r="B188" s="23">
        <v>184.0</v>
      </c>
      <c r="C188" s="24" t="s">
        <v>568</v>
      </c>
      <c r="D188" s="34" t="s">
        <v>569</v>
      </c>
      <c r="E188" s="26" t="s">
        <v>570</v>
      </c>
      <c r="F188" s="27">
        <v>1000.0</v>
      </c>
      <c r="G188" s="28"/>
    </row>
    <row r="189" ht="22.5" customHeight="1">
      <c r="A189" s="14" t="b">
        <v>1</v>
      </c>
      <c r="B189" s="15">
        <v>185.0</v>
      </c>
      <c r="C189" s="16" t="s">
        <v>571</v>
      </c>
      <c r="D189" s="32" t="s">
        <v>572</v>
      </c>
      <c r="E189" s="18" t="s">
        <v>573</v>
      </c>
      <c r="F189" s="30">
        <v>3000.0</v>
      </c>
      <c r="G189" s="19"/>
    </row>
    <row r="190" ht="22.5" customHeight="1">
      <c r="A190" s="22" t="b">
        <v>1</v>
      </c>
      <c r="B190" s="23">
        <v>186.0</v>
      </c>
      <c r="C190" s="24" t="s">
        <v>574</v>
      </c>
      <c r="D190" s="34" t="s">
        <v>575</v>
      </c>
      <c r="E190" s="26" t="s">
        <v>576</v>
      </c>
      <c r="F190" s="27">
        <v>1200.0</v>
      </c>
      <c r="G190" s="28"/>
    </row>
    <row r="191" ht="22.5" customHeight="1">
      <c r="A191" s="14" t="b">
        <v>1</v>
      </c>
      <c r="B191" s="15">
        <v>187.0</v>
      </c>
      <c r="C191" s="16" t="s">
        <v>577</v>
      </c>
      <c r="D191" s="32" t="s">
        <v>578</v>
      </c>
      <c r="E191" s="18" t="s">
        <v>579</v>
      </c>
      <c r="F191" s="30">
        <v>2000.0</v>
      </c>
      <c r="G191" s="19"/>
    </row>
    <row r="192" ht="22.5" customHeight="1">
      <c r="A192" s="22" t="b">
        <v>1</v>
      </c>
      <c r="B192" s="23">
        <v>188.0</v>
      </c>
      <c r="C192" s="24" t="s">
        <v>580</v>
      </c>
      <c r="D192" s="34" t="s">
        <v>581</v>
      </c>
      <c r="E192" s="26" t="s">
        <v>582</v>
      </c>
      <c r="F192" s="24">
        <v>600.0</v>
      </c>
      <c r="G192" s="28"/>
    </row>
    <row r="193" ht="22.5" customHeight="1">
      <c r="A193" s="14" t="b">
        <v>1</v>
      </c>
      <c r="B193" s="15">
        <v>189.0</v>
      </c>
      <c r="C193" s="16" t="s">
        <v>583</v>
      </c>
      <c r="D193" s="32" t="s">
        <v>584</v>
      </c>
      <c r="E193" s="18" t="s">
        <v>585</v>
      </c>
      <c r="F193" s="30">
        <v>4500.0</v>
      </c>
      <c r="G193" s="19"/>
    </row>
    <row r="194" ht="22.5" customHeight="1">
      <c r="A194" s="22" t="b">
        <v>1</v>
      </c>
      <c r="B194" s="23">
        <v>190.0</v>
      </c>
      <c r="C194" s="24" t="s">
        <v>586</v>
      </c>
      <c r="D194" s="34" t="s">
        <v>587</v>
      </c>
      <c r="E194" s="26" t="s">
        <v>588</v>
      </c>
      <c r="F194" s="27">
        <v>1000.0</v>
      </c>
      <c r="G194" s="28"/>
    </row>
    <row r="195" ht="22.5" customHeight="1">
      <c r="A195" s="14" t="b">
        <v>1</v>
      </c>
      <c r="B195" s="15">
        <v>191.0</v>
      </c>
      <c r="C195" s="16" t="s">
        <v>589</v>
      </c>
      <c r="D195" s="32" t="s">
        <v>590</v>
      </c>
      <c r="E195" s="18" t="s">
        <v>591</v>
      </c>
      <c r="F195" s="30">
        <v>2500.0</v>
      </c>
      <c r="G195" s="19"/>
    </row>
    <row r="196" ht="22.5" customHeight="1">
      <c r="A196" s="22" t="b">
        <v>1</v>
      </c>
      <c r="B196" s="23">
        <v>192.0</v>
      </c>
      <c r="C196" s="24" t="s">
        <v>592</v>
      </c>
      <c r="D196" s="34" t="s">
        <v>593</v>
      </c>
      <c r="E196" s="26" t="s">
        <v>594</v>
      </c>
      <c r="F196" s="27">
        <v>5000.0</v>
      </c>
      <c r="G196" s="28"/>
    </row>
    <row r="197" ht="22.5" customHeight="1">
      <c r="A197" s="14" t="b">
        <v>1</v>
      </c>
      <c r="B197" s="15">
        <v>193.0</v>
      </c>
      <c r="C197" s="16" t="s">
        <v>595</v>
      </c>
      <c r="D197" s="32" t="s">
        <v>596</v>
      </c>
      <c r="E197" s="18" t="s">
        <v>597</v>
      </c>
      <c r="F197" s="30">
        <v>1500.0</v>
      </c>
      <c r="G197" s="19"/>
    </row>
    <row r="198" ht="22.5" customHeight="1">
      <c r="A198" s="22" t="b">
        <v>1</v>
      </c>
      <c r="B198" s="23">
        <v>194.0</v>
      </c>
      <c r="C198" s="24" t="s">
        <v>598</v>
      </c>
      <c r="D198" s="34" t="s">
        <v>599</v>
      </c>
      <c r="E198" s="26" t="s">
        <v>600</v>
      </c>
      <c r="F198" s="24">
        <v>700.0</v>
      </c>
      <c r="G198" s="28"/>
    </row>
    <row r="199" ht="22.5" customHeight="1">
      <c r="A199" s="14" t="b">
        <v>1</v>
      </c>
      <c r="B199" s="15">
        <v>195.0</v>
      </c>
      <c r="C199" s="16" t="s">
        <v>601</v>
      </c>
      <c r="D199" s="32" t="s">
        <v>602</v>
      </c>
      <c r="E199" s="18" t="s">
        <v>603</v>
      </c>
      <c r="F199" s="30">
        <v>3000.0</v>
      </c>
      <c r="G199" s="19"/>
    </row>
    <row r="200" ht="22.5" customHeight="1">
      <c r="A200" s="22" t="b">
        <v>1</v>
      </c>
      <c r="B200" s="23">
        <v>196.0</v>
      </c>
      <c r="C200" s="24" t="s">
        <v>604</v>
      </c>
      <c r="D200" s="34" t="s">
        <v>605</v>
      </c>
      <c r="E200" s="26" t="s">
        <v>606</v>
      </c>
      <c r="F200" s="27">
        <v>1200.0</v>
      </c>
      <c r="G200" s="28"/>
    </row>
    <row r="201" ht="22.5" customHeight="1">
      <c r="A201" s="14" t="b">
        <v>1</v>
      </c>
      <c r="B201" s="15">
        <v>197.0</v>
      </c>
      <c r="C201" s="16" t="s">
        <v>607</v>
      </c>
      <c r="D201" s="32" t="s">
        <v>608</v>
      </c>
      <c r="E201" s="18" t="s">
        <v>609</v>
      </c>
      <c r="F201" s="30">
        <v>2000.0</v>
      </c>
      <c r="G201" s="19"/>
    </row>
    <row r="202" ht="22.5" customHeight="1">
      <c r="A202" s="22" t="b">
        <v>1</v>
      </c>
      <c r="B202" s="23">
        <v>198.0</v>
      </c>
      <c r="C202" s="24" t="s">
        <v>610</v>
      </c>
      <c r="D202" s="34" t="s">
        <v>611</v>
      </c>
      <c r="E202" s="26" t="s">
        <v>612</v>
      </c>
      <c r="F202" s="24">
        <v>900.0</v>
      </c>
      <c r="G202" s="28"/>
    </row>
    <row r="203" ht="22.5" customHeight="1">
      <c r="A203" s="14" t="b">
        <v>1</v>
      </c>
      <c r="B203" s="15">
        <v>199.0</v>
      </c>
      <c r="C203" s="16" t="s">
        <v>613</v>
      </c>
      <c r="D203" s="32" t="s">
        <v>614</v>
      </c>
      <c r="E203" s="18" t="s">
        <v>615</v>
      </c>
      <c r="F203" s="30">
        <v>4000.0</v>
      </c>
      <c r="G203" s="19"/>
    </row>
    <row r="204" ht="22.5" customHeight="1">
      <c r="A204" s="22" t="b">
        <v>1</v>
      </c>
      <c r="B204" s="23">
        <v>200.0</v>
      </c>
      <c r="C204" s="24" t="s">
        <v>616</v>
      </c>
      <c r="D204" s="34" t="s">
        <v>617</v>
      </c>
      <c r="E204" s="26" t="s">
        <v>618</v>
      </c>
      <c r="F204" s="24">
        <v>500.0</v>
      </c>
      <c r="G204" s="28"/>
    </row>
  </sheetData>
  <autoFilter ref="$A$4:$G$145"/>
  <mergeCells count="3">
    <mergeCell ref="A1:J1"/>
    <mergeCell ref="A2:D2"/>
    <mergeCell ref="E2:F2"/>
  </mergeCells>
  <conditionalFormatting sqref="A4:H204 I52:M52">
    <cfRule type="cellIs" dxfId="0" priority="1" operator="equal">
      <formula>"TRUE"</formula>
    </cfRule>
  </conditionalFormatting>
  <conditionalFormatting sqref="A4:H204 I52:M52">
    <cfRule type="cellIs" dxfId="1" priority="2" operator="equal">
      <formula>"FALSE"</formula>
    </cfRule>
  </conditionalFormatting>
  <dataValidations>
    <dataValidation allowBlank="1" showDropDown="1" sqref="E5:E204"/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08"/>
    <hyperlink r:id="rId105" ref="D109"/>
    <hyperlink r:id="rId106" ref="D110"/>
    <hyperlink r:id="rId107" ref="D111"/>
    <hyperlink r:id="rId108" ref="D112"/>
    <hyperlink r:id="rId109" ref="D113"/>
    <hyperlink r:id="rId110" ref="D114"/>
    <hyperlink r:id="rId111" ref="D115"/>
    <hyperlink r:id="rId112" ref="D116"/>
    <hyperlink r:id="rId113" ref="D117"/>
    <hyperlink r:id="rId114" ref="D118"/>
    <hyperlink r:id="rId115" ref="D119"/>
    <hyperlink r:id="rId116" ref="D120"/>
    <hyperlink r:id="rId117" ref="D121"/>
    <hyperlink r:id="rId118" ref="D122"/>
    <hyperlink r:id="rId119" ref="D123"/>
    <hyperlink r:id="rId120" ref="D124"/>
    <hyperlink r:id="rId121" ref="D125"/>
    <hyperlink r:id="rId122" ref="D126"/>
    <hyperlink r:id="rId123" ref="D127"/>
    <hyperlink r:id="rId124" ref="D128"/>
    <hyperlink r:id="rId125" ref="D129"/>
    <hyperlink r:id="rId126" ref="D130"/>
    <hyperlink r:id="rId127" ref="D131"/>
    <hyperlink r:id="rId128" ref="D132"/>
    <hyperlink r:id="rId129" ref="D133"/>
    <hyperlink r:id="rId130" ref="D134"/>
    <hyperlink r:id="rId131" ref="D135"/>
    <hyperlink r:id="rId132" ref="D136"/>
    <hyperlink r:id="rId133" ref="D137"/>
    <hyperlink r:id="rId134" ref="D138"/>
    <hyperlink r:id="rId135" ref="D139"/>
    <hyperlink r:id="rId136" ref="D140"/>
    <hyperlink r:id="rId137" ref="D141"/>
    <hyperlink r:id="rId138" ref="D142"/>
    <hyperlink r:id="rId139" ref="D143"/>
    <hyperlink r:id="rId140" ref="D144"/>
    <hyperlink r:id="rId141" ref="D145"/>
    <hyperlink r:id="rId142" ref="D146"/>
    <hyperlink r:id="rId143" ref="D147"/>
    <hyperlink r:id="rId144" ref="D148"/>
    <hyperlink r:id="rId145" ref="D149"/>
    <hyperlink r:id="rId146" ref="D150"/>
    <hyperlink r:id="rId147" ref="D151"/>
    <hyperlink r:id="rId148" ref="D152"/>
    <hyperlink r:id="rId149" ref="D153"/>
    <hyperlink r:id="rId150" ref="D154"/>
    <hyperlink r:id="rId151" ref="D155"/>
    <hyperlink r:id="rId152" ref="D156"/>
    <hyperlink r:id="rId153" ref="D157"/>
    <hyperlink r:id="rId154" ref="D158"/>
    <hyperlink r:id="rId155" ref="D159"/>
    <hyperlink r:id="rId156" ref="D160"/>
    <hyperlink r:id="rId157" ref="D161"/>
    <hyperlink r:id="rId158" ref="D162"/>
    <hyperlink r:id="rId159" ref="D163"/>
    <hyperlink r:id="rId160" ref="D164"/>
    <hyperlink r:id="rId161" ref="D165"/>
    <hyperlink r:id="rId162" ref="D166"/>
    <hyperlink r:id="rId163" ref="D167"/>
    <hyperlink r:id="rId164" ref="D168"/>
    <hyperlink r:id="rId165" ref="D169"/>
    <hyperlink r:id="rId166" ref="D170"/>
    <hyperlink r:id="rId167" ref="D171"/>
    <hyperlink r:id="rId168" ref="D172"/>
    <hyperlink r:id="rId169" ref="D173"/>
    <hyperlink r:id="rId170" ref="D174"/>
    <hyperlink r:id="rId171" ref="D175"/>
    <hyperlink r:id="rId172" ref="D176"/>
    <hyperlink r:id="rId173" ref="D177"/>
    <hyperlink r:id="rId174" ref="D178"/>
    <hyperlink r:id="rId175" ref="D179"/>
    <hyperlink r:id="rId176" ref="D180"/>
    <hyperlink r:id="rId177" ref="D181"/>
    <hyperlink r:id="rId178" ref="D182"/>
    <hyperlink r:id="rId179" ref="D183"/>
    <hyperlink r:id="rId180" ref="D184"/>
    <hyperlink r:id="rId181" ref="D185"/>
    <hyperlink r:id="rId182" ref="D186"/>
    <hyperlink r:id="rId183" ref="D187"/>
    <hyperlink r:id="rId184" ref="D188"/>
    <hyperlink r:id="rId185" ref="D189"/>
    <hyperlink r:id="rId186" ref="D190"/>
    <hyperlink r:id="rId187" ref="D191"/>
    <hyperlink r:id="rId188" ref="D192"/>
    <hyperlink r:id="rId189" ref="D193"/>
    <hyperlink r:id="rId190" ref="D194"/>
    <hyperlink r:id="rId191" ref="D195"/>
    <hyperlink r:id="rId192" ref="D196"/>
    <hyperlink r:id="rId193" ref="D197"/>
    <hyperlink r:id="rId194" ref="D198"/>
    <hyperlink r:id="rId195" ref="D199"/>
    <hyperlink r:id="rId196" ref="D200"/>
    <hyperlink r:id="rId197" ref="D201"/>
    <hyperlink r:id="rId198" ref="D202"/>
    <hyperlink r:id="rId199" ref="D203"/>
    <hyperlink r:id="rId200" ref="D204"/>
  </hyperlinks>
  <drawing r:id="rId201"/>
  <tableParts count="3">
    <tablePart r:id="rId205"/>
    <tablePart r:id="rId206"/>
    <tablePart r:id="rId20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13.5"/>
    <col customWidth="1" min="3" max="3" width="13.38"/>
    <col customWidth="1" min="4" max="4" width="9.63"/>
    <col customWidth="1" min="5" max="5" width="28.38"/>
    <col customWidth="1" min="6" max="6" width="28.5"/>
    <col customWidth="1" min="7" max="7" width="15.63"/>
    <col customWidth="1" min="8" max="8" width="8.0"/>
    <col customWidth="1" min="9" max="9" width="39.0"/>
    <col customWidth="1" min="10" max="10" width="14.63"/>
    <col customWidth="1" min="11" max="11" width="5.0"/>
    <col customWidth="1" min="12" max="12" width="18.38"/>
    <col customWidth="1" min="13" max="13" width="12.63"/>
  </cols>
  <sheetData>
    <row r="1">
      <c r="A1" s="1" t="s">
        <v>664</v>
      </c>
      <c r="K1" s="2"/>
      <c r="L1" s="2"/>
      <c r="M1" s="2"/>
    </row>
    <row r="2">
      <c r="A2" s="3" t="str">
        <f>CONCATENATE(COUNTIF($A$5:$A$260,TRUE), "/", COUNTA(C5:C2060), " Charity  Collected")</f>
        <v>182/200 Charity  Collected</v>
      </c>
      <c r="E2" s="4" t="s">
        <v>1</v>
      </c>
      <c r="G2" s="5">
        <f>SUMIF(A:A,True,F:F)</f>
        <v>359400</v>
      </c>
      <c r="H2" s="5"/>
      <c r="I2" s="6" t="s">
        <v>663</v>
      </c>
      <c r="J2" s="5">
        <f>Income_Sheet_3[[#TOTALS],[Amount]]-Expense_Sheet_3[[#TOTALS],[Amount]]</f>
        <v>-245415</v>
      </c>
      <c r="K2" s="5"/>
      <c r="L2" s="5"/>
      <c r="M2" s="2"/>
    </row>
    <row r="3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</row>
    <row r="4" ht="22.5" customHeight="1">
      <c r="A4" s="9" t="s">
        <v>3</v>
      </c>
      <c r="B4" s="9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0" t="s">
        <v>9</v>
      </c>
      <c r="I4" s="12" t="s">
        <v>10</v>
      </c>
      <c r="J4" s="12" t="s">
        <v>8</v>
      </c>
      <c r="L4" s="12" t="s">
        <v>11</v>
      </c>
      <c r="M4" s="13" t="s">
        <v>8</v>
      </c>
    </row>
    <row r="5" ht="22.5" customHeight="1">
      <c r="A5" s="14" t="b">
        <v>1</v>
      </c>
      <c r="B5" s="15">
        <v>1.0</v>
      </c>
      <c r="C5" s="16" t="s">
        <v>12</v>
      </c>
      <c r="D5" s="17" t="s">
        <v>13</v>
      </c>
      <c r="E5" s="18" t="s">
        <v>14</v>
      </c>
      <c r="F5" s="16">
        <v>500.0</v>
      </c>
      <c r="G5" s="19"/>
      <c r="I5" s="20" t="s">
        <v>15</v>
      </c>
      <c r="J5" s="21">
        <v>50000.0</v>
      </c>
      <c r="L5" s="20" t="s">
        <v>16</v>
      </c>
      <c r="M5" s="21">
        <f>G2</f>
        <v>359400</v>
      </c>
    </row>
    <row r="6" ht="22.5" customHeight="1">
      <c r="A6" s="22" t="b">
        <v>1</v>
      </c>
      <c r="B6" s="23">
        <v>2.0</v>
      </c>
      <c r="C6" s="24" t="s">
        <v>17</v>
      </c>
      <c r="D6" s="25" t="s">
        <v>18</v>
      </c>
      <c r="E6" s="26" t="s">
        <v>19</v>
      </c>
      <c r="F6" s="27">
        <v>1000.0</v>
      </c>
      <c r="G6" s="28"/>
      <c r="I6" s="29" t="s">
        <v>20</v>
      </c>
      <c r="J6" s="21">
        <f>100000</f>
        <v>100000</v>
      </c>
      <c r="L6" s="20" t="s">
        <v>21</v>
      </c>
      <c r="M6" s="21">
        <v>20185.0</v>
      </c>
    </row>
    <row r="7" ht="22.5" customHeight="1">
      <c r="A7" s="14" t="b">
        <v>1</v>
      </c>
      <c r="B7" s="15">
        <v>3.0</v>
      </c>
      <c r="C7" s="16" t="s">
        <v>22</v>
      </c>
      <c r="D7" s="17" t="s">
        <v>23</v>
      </c>
      <c r="E7" s="18" t="s">
        <v>24</v>
      </c>
      <c r="F7" s="30">
        <v>2000.0</v>
      </c>
      <c r="G7" s="19"/>
      <c r="I7" s="29" t="s">
        <v>25</v>
      </c>
      <c r="J7" s="21">
        <v>75000.0</v>
      </c>
      <c r="L7" s="31"/>
      <c r="M7" s="21"/>
    </row>
    <row r="8" ht="22.5" customHeight="1">
      <c r="A8" s="22" t="b">
        <v>1</v>
      </c>
      <c r="B8" s="23">
        <v>4.0</v>
      </c>
      <c r="C8" s="24" t="s">
        <v>26</v>
      </c>
      <c r="D8" s="25" t="s">
        <v>27</v>
      </c>
      <c r="E8" s="26" t="s">
        <v>28</v>
      </c>
      <c r="F8" s="27">
        <v>5000.0</v>
      </c>
      <c r="G8" s="28"/>
      <c r="I8" s="20" t="s">
        <v>665</v>
      </c>
      <c r="J8" s="21">
        <v>400000.0</v>
      </c>
      <c r="L8" s="31"/>
      <c r="M8" s="21"/>
    </row>
    <row r="9" ht="22.5" customHeight="1">
      <c r="A9" s="14" t="b">
        <v>1</v>
      </c>
      <c r="B9" s="15">
        <v>5.0</v>
      </c>
      <c r="C9" s="16" t="s">
        <v>29</v>
      </c>
      <c r="D9" s="32" t="s">
        <v>30</v>
      </c>
      <c r="E9" s="18" t="s">
        <v>31</v>
      </c>
      <c r="F9" s="16">
        <v>300.0</v>
      </c>
      <c r="G9" s="19"/>
      <c r="I9" s="33"/>
      <c r="J9" s="21"/>
      <c r="L9" s="31"/>
      <c r="M9" s="21"/>
    </row>
    <row r="10" ht="22.5" customHeight="1">
      <c r="A10" s="22" t="b">
        <v>1</v>
      </c>
      <c r="B10" s="23">
        <v>6.0</v>
      </c>
      <c r="C10" s="24" t="s">
        <v>32</v>
      </c>
      <c r="D10" s="34" t="s">
        <v>33</v>
      </c>
      <c r="E10" s="26" t="s">
        <v>34</v>
      </c>
      <c r="F10" s="27">
        <v>1500.0</v>
      </c>
      <c r="G10" s="28"/>
      <c r="I10" s="33"/>
      <c r="J10" s="21"/>
      <c r="L10" s="31"/>
      <c r="M10" s="21"/>
    </row>
    <row r="11" ht="22.5" customHeight="1">
      <c r="A11" s="14" t="b">
        <v>0</v>
      </c>
      <c r="B11" s="15">
        <v>7.0</v>
      </c>
      <c r="C11" s="16" t="s">
        <v>35</v>
      </c>
      <c r="D11" s="32" t="s">
        <v>36</v>
      </c>
      <c r="E11" s="18" t="s">
        <v>37</v>
      </c>
      <c r="F11" s="30">
        <v>2500.0</v>
      </c>
      <c r="G11" s="35"/>
      <c r="I11" s="29"/>
      <c r="J11" s="21"/>
      <c r="L11" s="31"/>
      <c r="M11" s="21"/>
    </row>
    <row r="12" ht="22.5" customHeight="1">
      <c r="A12" s="22" t="b">
        <v>0</v>
      </c>
      <c r="B12" s="23">
        <v>8.0</v>
      </c>
      <c r="C12" s="24" t="s">
        <v>38</v>
      </c>
      <c r="D12" s="34" t="s">
        <v>39</v>
      </c>
      <c r="E12" s="26" t="s">
        <v>40</v>
      </c>
      <c r="F12" s="24">
        <v>200.0</v>
      </c>
      <c r="G12" s="28"/>
      <c r="I12" s="29"/>
      <c r="J12" s="21"/>
      <c r="L12" s="31"/>
      <c r="M12" s="21" t="str">
        <f t="shared" ref="M12:M13" si="1">G9</f>
        <v/>
      </c>
    </row>
    <row r="13" ht="22.5" customHeight="1">
      <c r="A13" s="14" t="b">
        <v>1</v>
      </c>
      <c r="B13" s="15">
        <v>9.0</v>
      </c>
      <c r="C13" s="16" t="s">
        <v>41</v>
      </c>
      <c r="D13" s="32" t="s">
        <v>42</v>
      </c>
      <c r="E13" s="18" t="s">
        <v>43</v>
      </c>
      <c r="F13" s="30">
        <v>1000.0</v>
      </c>
      <c r="G13" s="19"/>
      <c r="I13" s="29"/>
      <c r="J13" s="21"/>
      <c r="L13" s="31"/>
      <c r="M13" s="21" t="str">
        <f t="shared" si="1"/>
        <v/>
      </c>
    </row>
    <row r="14" ht="22.5" customHeight="1">
      <c r="A14" s="22" t="b">
        <v>1</v>
      </c>
      <c r="B14" s="23">
        <v>10.0</v>
      </c>
      <c r="C14" s="24" t="s">
        <v>44</v>
      </c>
      <c r="D14" s="34" t="s">
        <v>45</v>
      </c>
      <c r="E14" s="26" t="s">
        <v>46</v>
      </c>
      <c r="F14" s="27">
        <v>3000.0</v>
      </c>
      <c r="G14" s="28"/>
      <c r="I14" s="36" t="s">
        <v>47</v>
      </c>
      <c r="J14" s="37">
        <f>Sum(Expense_Sheet_3[Amount])</f>
        <v>625000</v>
      </c>
      <c r="L14" s="31"/>
      <c r="M14" s="21"/>
    </row>
    <row r="15" ht="26.25" customHeight="1">
      <c r="A15" s="14" t="b">
        <v>1</v>
      </c>
      <c r="B15" s="15">
        <v>11.0</v>
      </c>
      <c r="C15" s="16" t="s">
        <v>48</v>
      </c>
      <c r="D15" s="32" t="s">
        <v>49</v>
      </c>
      <c r="E15" s="18" t="s">
        <v>50</v>
      </c>
      <c r="F15" s="16">
        <v>700.0</v>
      </c>
      <c r="G15" s="19"/>
      <c r="L15" s="36" t="s">
        <v>47</v>
      </c>
      <c r="M15" s="37">
        <f>Sum(Income_Sheet_3[Amount])</f>
        <v>379585</v>
      </c>
    </row>
    <row r="16" ht="26.25" customHeight="1">
      <c r="A16" s="22" t="b">
        <v>0</v>
      </c>
      <c r="B16" s="23">
        <v>12.0</v>
      </c>
      <c r="C16" s="24" t="s">
        <v>51</v>
      </c>
      <c r="D16" s="34" t="s">
        <v>52</v>
      </c>
      <c r="E16" s="26" t="s">
        <v>53</v>
      </c>
      <c r="F16" s="27">
        <v>2000.0</v>
      </c>
      <c r="G16" s="28"/>
    </row>
    <row r="17" ht="26.25" customHeight="1">
      <c r="A17" s="14" t="b">
        <v>1</v>
      </c>
      <c r="B17" s="15">
        <v>13.0</v>
      </c>
      <c r="C17" s="16" t="s">
        <v>54</v>
      </c>
      <c r="D17" s="32" t="s">
        <v>55</v>
      </c>
      <c r="E17" s="18" t="s">
        <v>56</v>
      </c>
      <c r="F17" s="30">
        <v>5000.0</v>
      </c>
      <c r="G17" s="19"/>
    </row>
    <row r="18" ht="26.25" customHeight="1">
      <c r="A18" s="22" t="b">
        <v>1</v>
      </c>
      <c r="B18" s="23">
        <v>14.0</v>
      </c>
      <c r="C18" s="24" t="s">
        <v>57</v>
      </c>
      <c r="D18" s="34" t="s">
        <v>58</v>
      </c>
      <c r="E18" s="26" t="s">
        <v>59</v>
      </c>
      <c r="F18" s="24">
        <v>400.0</v>
      </c>
      <c r="G18" s="28"/>
      <c r="L18" s="39"/>
      <c r="M18" s="40"/>
    </row>
    <row r="19" ht="26.25" customHeight="1">
      <c r="A19" s="14" t="b">
        <v>1</v>
      </c>
      <c r="B19" s="15">
        <v>15.0</v>
      </c>
      <c r="C19" s="16" t="s">
        <v>61</v>
      </c>
      <c r="D19" s="32" t="s">
        <v>62</v>
      </c>
      <c r="E19" s="18" t="s">
        <v>63</v>
      </c>
      <c r="F19" s="30">
        <v>1200.0</v>
      </c>
      <c r="G19" s="19"/>
    </row>
    <row r="20" ht="26.25" customHeight="1">
      <c r="A20" s="22" t="b">
        <v>1</v>
      </c>
      <c r="B20" s="23">
        <v>16.0</v>
      </c>
      <c r="C20" s="24" t="s">
        <v>64</v>
      </c>
      <c r="D20" s="34" t="s">
        <v>65</v>
      </c>
      <c r="E20" s="26" t="s">
        <v>66</v>
      </c>
      <c r="F20" s="27">
        <v>2500.0</v>
      </c>
      <c r="G20" s="28"/>
    </row>
    <row r="21" ht="26.25" customHeight="1">
      <c r="A21" s="14" t="b">
        <v>1</v>
      </c>
      <c r="B21" s="15">
        <v>17.0</v>
      </c>
      <c r="C21" s="16" t="s">
        <v>67</v>
      </c>
      <c r="D21" s="32" t="s">
        <v>68</v>
      </c>
      <c r="E21" s="18" t="s">
        <v>69</v>
      </c>
      <c r="F21" s="30">
        <v>1000.0</v>
      </c>
      <c r="G21" s="35"/>
    </row>
    <row r="22" ht="26.25" customHeight="1">
      <c r="A22" s="22" t="b">
        <v>1</v>
      </c>
      <c r="B22" s="23">
        <v>18.0</v>
      </c>
      <c r="C22" s="24" t="s">
        <v>70</v>
      </c>
      <c r="D22" s="34" t="s">
        <v>71</v>
      </c>
      <c r="E22" s="26" t="s">
        <v>72</v>
      </c>
      <c r="F22" s="24">
        <v>800.0</v>
      </c>
      <c r="G22" s="28"/>
    </row>
    <row r="23" ht="26.25" customHeight="1">
      <c r="A23" s="14" t="b">
        <v>1</v>
      </c>
      <c r="B23" s="15">
        <v>19.0</v>
      </c>
      <c r="C23" s="16" t="s">
        <v>73</v>
      </c>
      <c r="D23" s="32" t="s">
        <v>74</v>
      </c>
      <c r="E23" s="18" t="s">
        <v>75</v>
      </c>
      <c r="F23" s="30">
        <v>3500.0</v>
      </c>
      <c r="G23" s="19"/>
    </row>
    <row r="24" ht="26.25" customHeight="1">
      <c r="A24" s="22" t="b">
        <v>1</v>
      </c>
      <c r="B24" s="23">
        <v>20.0</v>
      </c>
      <c r="C24" s="24" t="s">
        <v>76</v>
      </c>
      <c r="D24" s="34" t="s">
        <v>77</v>
      </c>
      <c r="E24" s="26" t="s">
        <v>78</v>
      </c>
      <c r="F24" s="24">
        <v>100.0</v>
      </c>
      <c r="G24" s="28"/>
    </row>
    <row r="25" ht="26.25" customHeight="1">
      <c r="A25" s="14" t="b">
        <v>1</v>
      </c>
      <c r="B25" s="15">
        <v>21.0</v>
      </c>
      <c r="C25" s="16" t="s">
        <v>79</v>
      </c>
      <c r="D25" s="32" t="s">
        <v>80</v>
      </c>
      <c r="E25" s="18" t="s">
        <v>81</v>
      </c>
      <c r="F25" s="30">
        <v>1500.0</v>
      </c>
      <c r="G25" s="19"/>
    </row>
    <row r="26" ht="26.25" customHeight="1">
      <c r="A26" s="22" t="b">
        <v>1</v>
      </c>
      <c r="B26" s="23">
        <v>22.0</v>
      </c>
      <c r="C26" s="24" t="s">
        <v>82</v>
      </c>
      <c r="D26" s="34" t="s">
        <v>83</v>
      </c>
      <c r="E26" s="26" t="s">
        <v>84</v>
      </c>
      <c r="F26" s="27">
        <v>2000.0</v>
      </c>
      <c r="G26" s="28"/>
    </row>
    <row r="27" ht="26.25" customHeight="1">
      <c r="A27" s="14" t="b">
        <v>1</v>
      </c>
      <c r="B27" s="15">
        <v>23.0</v>
      </c>
      <c r="C27" s="16" t="s">
        <v>85</v>
      </c>
      <c r="D27" s="32" t="s">
        <v>86</v>
      </c>
      <c r="E27" s="18" t="s">
        <v>87</v>
      </c>
      <c r="F27" s="30">
        <v>5000.0</v>
      </c>
      <c r="G27" s="19"/>
    </row>
    <row r="28" ht="26.25" customHeight="1">
      <c r="A28" s="22" t="b">
        <v>1</v>
      </c>
      <c r="B28" s="23">
        <v>24.0</v>
      </c>
      <c r="C28" s="24" t="s">
        <v>88</v>
      </c>
      <c r="D28" s="34" t="s">
        <v>89</v>
      </c>
      <c r="E28" s="26" t="s">
        <v>90</v>
      </c>
      <c r="F28" s="24">
        <v>600.0</v>
      </c>
      <c r="G28" s="28"/>
    </row>
    <row r="29" ht="26.25" customHeight="1">
      <c r="A29" s="14" t="b">
        <v>1</v>
      </c>
      <c r="B29" s="15">
        <v>25.0</v>
      </c>
      <c r="C29" s="16" t="s">
        <v>91</v>
      </c>
      <c r="D29" s="32" t="s">
        <v>92</v>
      </c>
      <c r="E29" s="18" t="s">
        <v>93</v>
      </c>
      <c r="F29" s="30">
        <v>1000.0</v>
      </c>
      <c r="G29" s="19"/>
    </row>
    <row r="30" ht="26.25" customHeight="1">
      <c r="A30" s="22" t="b">
        <v>1</v>
      </c>
      <c r="B30" s="23">
        <v>26.0</v>
      </c>
      <c r="C30" s="24" t="s">
        <v>94</v>
      </c>
      <c r="D30" s="34" t="s">
        <v>95</v>
      </c>
      <c r="E30" s="26" t="s">
        <v>96</v>
      </c>
      <c r="F30" s="27">
        <v>2200.0</v>
      </c>
      <c r="G30" s="28"/>
    </row>
    <row r="31" ht="26.25" customHeight="1">
      <c r="A31" s="14" t="b">
        <v>1</v>
      </c>
      <c r="B31" s="15">
        <v>27.0</v>
      </c>
      <c r="C31" s="15" t="s">
        <v>97</v>
      </c>
      <c r="D31" s="32" t="s">
        <v>98</v>
      </c>
      <c r="E31" s="18" t="s">
        <v>99</v>
      </c>
      <c r="F31" s="30">
        <v>1500.0</v>
      </c>
      <c r="G31" s="35"/>
    </row>
    <row r="32" ht="26.25" customHeight="1">
      <c r="A32" s="22" t="b">
        <v>1</v>
      </c>
      <c r="B32" s="23">
        <v>28.0</v>
      </c>
      <c r="C32" s="24" t="s">
        <v>100</v>
      </c>
      <c r="D32" s="34" t="s">
        <v>101</v>
      </c>
      <c r="E32" s="26" t="s">
        <v>102</v>
      </c>
      <c r="F32" s="24">
        <v>900.0</v>
      </c>
      <c r="G32" s="28"/>
    </row>
    <row r="33" ht="26.25" customHeight="1">
      <c r="A33" s="14" t="b">
        <v>1</v>
      </c>
      <c r="B33" s="15">
        <v>29.0</v>
      </c>
      <c r="C33" s="16" t="s">
        <v>103</v>
      </c>
      <c r="D33" s="32" t="s">
        <v>104</v>
      </c>
      <c r="E33" s="18" t="s">
        <v>105</v>
      </c>
      <c r="F33" s="30">
        <v>4000.0</v>
      </c>
      <c r="G33" s="35"/>
    </row>
    <row r="34" ht="26.25" customHeight="1">
      <c r="A34" s="22" t="b">
        <v>0</v>
      </c>
      <c r="B34" s="23">
        <v>30.0</v>
      </c>
      <c r="C34" s="24" t="s">
        <v>106</v>
      </c>
      <c r="D34" s="34" t="s">
        <v>107</v>
      </c>
      <c r="E34" s="26" t="s">
        <v>108</v>
      </c>
      <c r="F34" s="27">
        <v>1000.0</v>
      </c>
      <c r="G34" s="28"/>
    </row>
    <row r="35" ht="26.25" customHeight="1">
      <c r="A35" s="14" t="b">
        <v>1</v>
      </c>
      <c r="B35" s="15">
        <v>31.0</v>
      </c>
      <c r="C35" s="16" t="s">
        <v>109</v>
      </c>
      <c r="D35" s="32" t="s">
        <v>110</v>
      </c>
      <c r="E35" s="18" t="s">
        <v>111</v>
      </c>
      <c r="F35" s="30">
        <v>2500.0</v>
      </c>
      <c r="G35" s="19"/>
    </row>
    <row r="36" ht="26.25" customHeight="1">
      <c r="A36" s="22" t="b">
        <v>1</v>
      </c>
      <c r="B36" s="23">
        <v>32.0</v>
      </c>
      <c r="C36" s="24" t="s">
        <v>112</v>
      </c>
      <c r="D36" s="34" t="s">
        <v>113</v>
      </c>
      <c r="E36" s="26" t="s">
        <v>114</v>
      </c>
      <c r="F36" s="27">
        <v>5000.0</v>
      </c>
      <c r="G36" s="28"/>
    </row>
    <row r="37" ht="26.25" customHeight="1">
      <c r="A37" s="14" t="b">
        <v>1</v>
      </c>
      <c r="B37" s="15">
        <v>33.0</v>
      </c>
      <c r="C37" s="16" t="s">
        <v>115</v>
      </c>
      <c r="D37" s="32" t="s">
        <v>116</v>
      </c>
      <c r="E37" s="18" t="s">
        <v>117</v>
      </c>
      <c r="F37" s="16">
        <v>500.0</v>
      </c>
      <c r="G37" s="19"/>
    </row>
    <row r="38" ht="26.25" customHeight="1">
      <c r="A38" s="22" t="b">
        <v>1</v>
      </c>
      <c r="B38" s="23">
        <v>34.0</v>
      </c>
      <c r="C38" s="24" t="s">
        <v>118</v>
      </c>
      <c r="D38" s="34" t="s">
        <v>119</v>
      </c>
      <c r="E38" s="26" t="s">
        <v>120</v>
      </c>
      <c r="F38" s="27">
        <v>1200.0</v>
      </c>
      <c r="G38" s="28"/>
    </row>
    <row r="39" ht="26.25" customHeight="1">
      <c r="A39" s="14" t="b">
        <v>1</v>
      </c>
      <c r="B39" s="15">
        <v>35.0</v>
      </c>
      <c r="C39" s="16" t="s">
        <v>121</v>
      </c>
      <c r="D39" s="32" t="s">
        <v>122</v>
      </c>
      <c r="E39" s="18" t="s">
        <v>123</v>
      </c>
      <c r="F39" s="30">
        <v>3000.0</v>
      </c>
      <c r="G39" s="19"/>
    </row>
    <row r="40" ht="26.25" customHeight="1">
      <c r="A40" s="22" t="b">
        <v>1</v>
      </c>
      <c r="B40" s="23">
        <v>36.0</v>
      </c>
      <c r="C40" s="24" t="s">
        <v>124</v>
      </c>
      <c r="D40" s="34" t="s">
        <v>125</v>
      </c>
      <c r="E40" s="26" t="s">
        <v>126</v>
      </c>
      <c r="F40" s="24">
        <v>200.0</v>
      </c>
      <c r="G40" s="41"/>
    </row>
    <row r="41" ht="26.25" customHeight="1">
      <c r="A41" s="14" t="b">
        <v>1</v>
      </c>
      <c r="B41" s="15">
        <v>37.0</v>
      </c>
      <c r="C41" s="16" t="s">
        <v>127</v>
      </c>
      <c r="D41" s="32" t="s">
        <v>128</v>
      </c>
      <c r="E41" s="18" t="s">
        <v>129</v>
      </c>
      <c r="F41" s="30">
        <v>1000.0</v>
      </c>
      <c r="G41" s="19"/>
    </row>
    <row r="42" ht="26.25" customHeight="1">
      <c r="A42" s="22" t="b">
        <v>0</v>
      </c>
      <c r="B42" s="23">
        <v>38.0</v>
      </c>
      <c r="C42" s="24" t="s">
        <v>130</v>
      </c>
      <c r="D42" s="34" t="s">
        <v>131</v>
      </c>
      <c r="E42" s="26" t="s">
        <v>132</v>
      </c>
      <c r="F42" s="27">
        <v>2000.0</v>
      </c>
      <c r="G42" s="28"/>
    </row>
    <row r="43" ht="26.25" customHeight="1">
      <c r="A43" s="14" t="b">
        <v>1</v>
      </c>
      <c r="B43" s="15">
        <v>39.0</v>
      </c>
      <c r="C43" s="16" t="s">
        <v>133</v>
      </c>
      <c r="D43" s="32" t="s">
        <v>134</v>
      </c>
      <c r="E43" s="18" t="s">
        <v>135</v>
      </c>
      <c r="F43" s="30">
        <v>1800.0</v>
      </c>
      <c r="G43" s="19"/>
    </row>
    <row r="44" ht="26.25" customHeight="1">
      <c r="A44" s="22" t="b">
        <v>1</v>
      </c>
      <c r="B44" s="23">
        <v>40.0</v>
      </c>
      <c r="C44" s="24" t="s">
        <v>136</v>
      </c>
      <c r="D44" s="34" t="s">
        <v>137</v>
      </c>
      <c r="E44" s="26" t="s">
        <v>138</v>
      </c>
      <c r="F44" s="24">
        <v>700.0</v>
      </c>
      <c r="G44" s="41"/>
    </row>
    <row r="45" ht="26.25" customHeight="1">
      <c r="A45" s="14" t="b">
        <v>1</v>
      </c>
      <c r="B45" s="15">
        <v>41.0</v>
      </c>
      <c r="C45" s="16" t="s">
        <v>139</v>
      </c>
      <c r="D45" s="32" t="s">
        <v>140</v>
      </c>
      <c r="E45" s="18" t="s">
        <v>141</v>
      </c>
      <c r="F45" s="30">
        <v>4500.0</v>
      </c>
      <c r="G45" s="19"/>
    </row>
    <row r="46" ht="26.25" customHeight="1">
      <c r="A46" s="22" t="b">
        <v>1</v>
      </c>
      <c r="B46" s="23">
        <v>42.0</v>
      </c>
      <c r="C46" s="24" t="s">
        <v>142</v>
      </c>
      <c r="D46" s="34" t="s">
        <v>143</v>
      </c>
      <c r="E46" s="26" t="s">
        <v>144</v>
      </c>
      <c r="F46" s="27">
        <v>1500.0</v>
      </c>
      <c r="G46" s="41"/>
    </row>
    <row r="47" ht="26.25" customHeight="1">
      <c r="A47" s="14" t="b">
        <v>1</v>
      </c>
      <c r="B47" s="15">
        <v>43.0</v>
      </c>
      <c r="C47" s="16" t="s">
        <v>145</v>
      </c>
      <c r="D47" s="32" t="s">
        <v>146</v>
      </c>
      <c r="E47" s="18" t="s">
        <v>147</v>
      </c>
      <c r="F47" s="30">
        <v>2500.0</v>
      </c>
      <c r="G47" s="19"/>
    </row>
    <row r="48" ht="26.25" customHeight="1">
      <c r="A48" s="22" t="b">
        <v>1</v>
      </c>
      <c r="B48" s="23">
        <v>44.0</v>
      </c>
      <c r="C48" s="24" t="s">
        <v>148</v>
      </c>
      <c r="D48" s="34" t="s">
        <v>149</v>
      </c>
      <c r="E48" s="26" t="s">
        <v>150</v>
      </c>
      <c r="F48" s="27">
        <v>5000.0</v>
      </c>
      <c r="G48" s="28"/>
    </row>
    <row r="49" ht="26.25" customHeight="1">
      <c r="A49" s="14" t="b">
        <v>1</v>
      </c>
      <c r="B49" s="15">
        <v>45.0</v>
      </c>
      <c r="C49" s="16" t="s">
        <v>151</v>
      </c>
      <c r="D49" s="32" t="s">
        <v>152</v>
      </c>
      <c r="E49" s="18" t="s">
        <v>153</v>
      </c>
      <c r="F49" s="16">
        <v>300.0</v>
      </c>
      <c r="G49" s="19"/>
    </row>
    <row r="50" ht="26.25" customHeight="1">
      <c r="A50" s="22" t="b">
        <v>0</v>
      </c>
      <c r="B50" s="23">
        <v>46.0</v>
      </c>
      <c r="C50" s="24" t="s">
        <v>154</v>
      </c>
      <c r="D50" s="34" t="s">
        <v>155</v>
      </c>
      <c r="E50" s="26" t="s">
        <v>156</v>
      </c>
      <c r="F50" s="27">
        <v>1000.0</v>
      </c>
      <c r="G50" s="28"/>
    </row>
    <row r="51" ht="26.25" customHeight="1">
      <c r="A51" s="14" t="b">
        <v>1</v>
      </c>
      <c r="B51" s="15">
        <v>47.0</v>
      </c>
      <c r="C51" s="16" t="s">
        <v>157</v>
      </c>
      <c r="D51" s="32" t="s">
        <v>158</v>
      </c>
      <c r="E51" s="18" t="s">
        <v>159</v>
      </c>
      <c r="F51" s="30">
        <v>3500.0</v>
      </c>
      <c r="G51" s="19"/>
    </row>
    <row r="52" ht="22.5" customHeight="1">
      <c r="A52" s="22" t="b">
        <v>0</v>
      </c>
      <c r="B52" s="23">
        <v>48.0</v>
      </c>
      <c r="C52" s="24" t="s">
        <v>160</v>
      </c>
      <c r="D52" s="34" t="s">
        <v>161</v>
      </c>
      <c r="E52" s="26" t="s">
        <v>162</v>
      </c>
      <c r="F52" s="27">
        <v>1200.0</v>
      </c>
      <c r="G52" s="41"/>
      <c r="H52" s="42"/>
      <c r="I52" s="43"/>
      <c r="J52" s="44"/>
      <c r="K52" s="45"/>
      <c r="L52" s="43"/>
      <c r="M52" s="46"/>
    </row>
    <row r="53" ht="22.5" customHeight="1">
      <c r="A53" s="14" t="b">
        <v>1</v>
      </c>
      <c r="B53" s="15">
        <v>49.0</v>
      </c>
      <c r="C53" s="16" t="s">
        <v>163</v>
      </c>
      <c r="D53" s="32" t="s">
        <v>164</v>
      </c>
      <c r="E53" s="18" t="s">
        <v>165</v>
      </c>
      <c r="F53" s="16">
        <v>600.0</v>
      </c>
      <c r="G53" s="19"/>
    </row>
    <row r="54" ht="22.5" customHeight="1">
      <c r="A54" s="22" t="b">
        <v>1</v>
      </c>
      <c r="B54" s="23">
        <v>50.0</v>
      </c>
      <c r="C54" s="24" t="s">
        <v>166</v>
      </c>
      <c r="D54" s="34" t="s">
        <v>167</v>
      </c>
      <c r="E54" s="26" t="s">
        <v>168</v>
      </c>
      <c r="F54" s="27">
        <v>2000.0</v>
      </c>
      <c r="G54" s="28"/>
    </row>
    <row r="55" ht="22.5" customHeight="1">
      <c r="A55" s="14" t="b">
        <v>1</v>
      </c>
      <c r="B55" s="15">
        <v>51.0</v>
      </c>
      <c r="C55" s="16" t="s">
        <v>169</v>
      </c>
      <c r="D55" s="32" t="s">
        <v>170</v>
      </c>
      <c r="E55" s="18" t="s">
        <v>171</v>
      </c>
      <c r="F55" s="30">
        <v>1000.0</v>
      </c>
      <c r="G55" s="19"/>
    </row>
    <row r="56" ht="22.5" customHeight="1">
      <c r="A56" s="22" t="b">
        <v>0</v>
      </c>
      <c r="B56" s="23">
        <v>52.0</v>
      </c>
      <c r="C56" s="24" t="s">
        <v>172</v>
      </c>
      <c r="D56" s="34" t="s">
        <v>173</v>
      </c>
      <c r="E56" s="26" t="s">
        <v>174</v>
      </c>
      <c r="F56" s="27">
        <v>2800.0</v>
      </c>
      <c r="G56" s="28"/>
    </row>
    <row r="57" ht="22.5" customHeight="1">
      <c r="A57" s="14" t="b">
        <v>1</v>
      </c>
      <c r="B57" s="15">
        <v>53.0</v>
      </c>
      <c r="C57" s="16" t="s">
        <v>175</v>
      </c>
      <c r="D57" s="32" t="s">
        <v>176</v>
      </c>
      <c r="E57" s="18" t="s">
        <v>177</v>
      </c>
      <c r="F57" s="16">
        <v>400.0</v>
      </c>
      <c r="G57" s="19"/>
    </row>
    <row r="58" ht="22.5" customHeight="1">
      <c r="A58" s="22" t="b">
        <v>1</v>
      </c>
      <c r="B58" s="23">
        <v>54.0</v>
      </c>
      <c r="C58" s="24" t="s">
        <v>178</v>
      </c>
      <c r="D58" s="34" t="s">
        <v>179</v>
      </c>
      <c r="E58" s="26" t="s">
        <v>180</v>
      </c>
      <c r="F58" s="27">
        <v>1500.0</v>
      </c>
      <c r="G58" s="28"/>
    </row>
    <row r="59" ht="22.5" customHeight="1">
      <c r="A59" s="14" t="b">
        <v>0</v>
      </c>
      <c r="B59" s="15">
        <v>55.0</v>
      </c>
      <c r="C59" s="16" t="s">
        <v>181</v>
      </c>
      <c r="D59" s="32" t="s">
        <v>182</v>
      </c>
      <c r="E59" s="18" t="s">
        <v>183</v>
      </c>
      <c r="F59" s="30">
        <v>5000.0</v>
      </c>
      <c r="G59" s="19"/>
    </row>
    <row r="60" ht="22.5" customHeight="1">
      <c r="A60" s="22" t="b">
        <v>1</v>
      </c>
      <c r="B60" s="23">
        <v>56.0</v>
      </c>
      <c r="C60" s="24" t="s">
        <v>184</v>
      </c>
      <c r="D60" s="34" t="s">
        <v>185</v>
      </c>
      <c r="E60" s="26" t="s">
        <v>186</v>
      </c>
      <c r="F60" s="24">
        <v>800.0</v>
      </c>
      <c r="G60" s="28"/>
    </row>
    <row r="61" ht="22.5" customHeight="1">
      <c r="A61" s="14" t="b">
        <v>1</v>
      </c>
      <c r="B61" s="15">
        <v>57.0</v>
      </c>
      <c r="C61" s="16" t="s">
        <v>187</v>
      </c>
      <c r="D61" s="32" t="s">
        <v>188</v>
      </c>
      <c r="E61" s="18" t="s">
        <v>189</v>
      </c>
      <c r="F61" s="30">
        <v>2000.0</v>
      </c>
      <c r="G61" s="19"/>
    </row>
    <row r="62" ht="22.5" customHeight="1">
      <c r="A62" s="22" t="b">
        <v>1</v>
      </c>
      <c r="B62" s="23">
        <v>58.0</v>
      </c>
      <c r="C62" s="24" t="s">
        <v>190</v>
      </c>
      <c r="D62" s="34" t="s">
        <v>191</v>
      </c>
      <c r="E62" s="26" t="s">
        <v>192</v>
      </c>
      <c r="F62" s="27">
        <v>3000.0</v>
      </c>
      <c r="G62" s="28"/>
    </row>
    <row r="63" ht="22.5" customHeight="1">
      <c r="A63" s="14" t="b">
        <v>0</v>
      </c>
      <c r="B63" s="15">
        <v>59.0</v>
      </c>
      <c r="C63" s="16" t="s">
        <v>193</v>
      </c>
      <c r="D63" s="32" t="s">
        <v>194</v>
      </c>
      <c r="E63" s="18" t="s">
        <v>195</v>
      </c>
      <c r="F63" s="30">
        <v>1000.0</v>
      </c>
      <c r="G63" s="19"/>
    </row>
    <row r="64" ht="22.5" customHeight="1">
      <c r="A64" s="22" t="b">
        <v>1</v>
      </c>
      <c r="B64" s="23">
        <v>60.0</v>
      </c>
      <c r="C64" s="24" t="s">
        <v>196</v>
      </c>
      <c r="D64" s="34" t="s">
        <v>197</v>
      </c>
      <c r="E64" s="26" t="s">
        <v>198</v>
      </c>
      <c r="F64" s="27">
        <v>1500.0</v>
      </c>
      <c r="G64" s="28"/>
    </row>
    <row r="65" ht="22.5" customHeight="1">
      <c r="A65" s="14" t="b">
        <v>1</v>
      </c>
      <c r="B65" s="15">
        <v>61.0</v>
      </c>
      <c r="C65" s="16" t="s">
        <v>199</v>
      </c>
      <c r="D65" s="32" t="s">
        <v>200</v>
      </c>
      <c r="E65" s="18" t="s">
        <v>201</v>
      </c>
      <c r="F65" s="30">
        <v>2500.0</v>
      </c>
      <c r="G65" s="19"/>
    </row>
    <row r="66" ht="22.5" customHeight="1">
      <c r="A66" s="22" t="b">
        <v>1</v>
      </c>
      <c r="B66" s="23">
        <v>62.0</v>
      </c>
      <c r="C66" s="24" t="s">
        <v>202</v>
      </c>
      <c r="D66" s="34" t="s">
        <v>203</v>
      </c>
      <c r="E66" s="26" t="s">
        <v>204</v>
      </c>
      <c r="F66" s="24">
        <v>200.0</v>
      </c>
      <c r="G66" s="28"/>
    </row>
    <row r="67" ht="22.5" customHeight="1">
      <c r="A67" s="14" t="b">
        <v>1</v>
      </c>
      <c r="B67" s="15">
        <v>63.0</v>
      </c>
      <c r="C67" s="16" t="s">
        <v>205</v>
      </c>
      <c r="D67" s="32" t="s">
        <v>206</v>
      </c>
      <c r="E67" s="18" t="s">
        <v>207</v>
      </c>
      <c r="F67" s="30">
        <v>1000.0</v>
      </c>
      <c r="G67" s="19"/>
    </row>
    <row r="68" ht="22.5" customHeight="1">
      <c r="A68" s="22" t="b">
        <v>1</v>
      </c>
      <c r="B68" s="23">
        <v>64.0</v>
      </c>
      <c r="C68" s="24" t="s">
        <v>208</v>
      </c>
      <c r="D68" s="34" t="s">
        <v>209</v>
      </c>
      <c r="E68" s="26" t="s">
        <v>210</v>
      </c>
      <c r="F68" s="27">
        <v>4000.0</v>
      </c>
      <c r="G68" s="28"/>
    </row>
    <row r="69" ht="22.5" customHeight="1">
      <c r="A69" s="14" t="b">
        <v>1</v>
      </c>
      <c r="B69" s="15">
        <v>65.0</v>
      </c>
      <c r="C69" s="16" t="s">
        <v>211</v>
      </c>
      <c r="D69" s="32" t="s">
        <v>212</v>
      </c>
      <c r="E69" s="18" t="s">
        <v>213</v>
      </c>
      <c r="F69" s="16">
        <v>500.0</v>
      </c>
      <c r="G69" s="19"/>
    </row>
    <row r="70" ht="22.5" customHeight="1">
      <c r="A70" s="22" t="b">
        <v>1</v>
      </c>
      <c r="B70" s="23">
        <v>66.0</v>
      </c>
      <c r="C70" s="24" t="s">
        <v>214</v>
      </c>
      <c r="D70" s="34" t="s">
        <v>215</v>
      </c>
      <c r="E70" s="26" t="s">
        <v>216</v>
      </c>
      <c r="F70" s="27">
        <v>2000.0</v>
      </c>
      <c r="G70" s="28"/>
    </row>
    <row r="71" ht="22.5" customHeight="1">
      <c r="A71" s="14" t="b">
        <v>1</v>
      </c>
      <c r="B71" s="15">
        <v>67.0</v>
      </c>
      <c r="C71" s="16" t="s">
        <v>217</v>
      </c>
      <c r="D71" s="32" t="s">
        <v>218</v>
      </c>
      <c r="E71" s="18" t="s">
        <v>219</v>
      </c>
      <c r="F71" s="30">
        <v>5000.0</v>
      </c>
      <c r="G71" s="19"/>
    </row>
    <row r="72" ht="22.5" customHeight="1">
      <c r="A72" s="22" t="b">
        <v>1</v>
      </c>
      <c r="B72" s="23">
        <v>68.0</v>
      </c>
      <c r="C72" s="24" t="s">
        <v>220</v>
      </c>
      <c r="D72" s="34" t="s">
        <v>221</v>
      </c>
      <c r="E72" s="26" t="s">
        <v>222</v>
      </c>
      <c r="F72" s="27">
        <v>1200.0</v>
      </c>
      <c r="G72" s="41"/>
    </row>
    <row r="73" ht="22.5" customHeight="1">
      <c r="A73" s="14" t="b">
        <v>1</v>
      </c>
      <c r="B73" s="15">
        <v>69.0</v>
      </c>
      <c r="C73" s="16" t="s">
        <v>223</v>
      </c>
      <c r="D73" s="32" t="s">
        <v>224</v>
      </c>
      <c r="E73" s="18" t="s">
        <v>225</v>
      </c>
      <c r="F73" s="16">
        <v>700.0</v>
      </c>
      <c r="G73" s="19"/>
    </row>
    <row r="74" ht="22.5" customHeight="1">
      <c r="A74" s="22" t="b">
        <v>1</v>
      </c>
      <c r="B74" s="23">
        <v>70.0</v>
      </c>
      <c r="C74" s="24" t="s">
        <v>226</v>
      </c>
      <c r="D74" s="34" t="s">
        <v>227</v>
      </c>
      <c r="E74" s="26" t="s">
        <v>228</v>
      </c>
      <c r="F74" s="27">
        <v>3000.0</v>
      </c>
      <c r="G74" s="28"/>
    </row>
    <row r="75" ht="22.5" customHeight="1">
      <c r="A75" s="14" t="b">
        <v>1</v>
      </c>
      <c r="B75" s="15">
        <v>71.0</v>
      </c>
      <c r="C75" s="16" t="s">
        <v>229</v>
      </c>
      <c r="D75" s="32" t="s">
        <v>230</v>
      </c>
      <c r="E75" s="18" t="s">
        <v>231</v>
      </c>
      <c r="F75" s="30">
        <v>1500.0</v>
      </c>
      <c r="G75" s="35"/>
    </row>
    <row r="76" ht="22.5" customHeight="1">
      <c r="A76" s="22" t="b">
        <v>0</v>
      </c>
      <c r="B76" s="23">
        <v>72.0</v>
      </c>
      <c r="C76" s="24" t="s">
        <v>232</v>
      </c>
      <c r="D76" s="34" t="s">
        <v>233</v>
      </c>
      <c r="E76" s="26" t="s">
        <v>234</v>
      </c>
      <c r="F76" s="27">
        <v>2200.0</v>
      </c>
      <c r="G76" s="28"/>
    </row>
    <row r="77" ht="22.5" customHeight="1">
      <c r="A77" s="14" t="b">
        <v>1</v>
      </c>
      <c r="B77" s="15">
        <v>73.0</v>
      </c>
      <c r="C77" s="16" t="s">
        <v>235</v>
      </c>
      <c r="D77" s="32" t="s">
        <v>236</v>
      </c>
      <c r="E77" s="18" t="s">
        <v>237</v>
      </c>
      <c r="F77" s="30">
        <v>1000.0</v>
      </c>
      <c r="G77" s="19"/>
    </row>
    <row r="78" ht="22.5" customHeight="1">
      <c r="A78" s="22" t="b">
        <v>1</v>
      </c>
      <c r="B78" s="23">
        <v>74.0</v>
      </c>
      <c r="C78" s="24" t="s">
        <v>238</v>
      </c>
      <c r="D78" s="34" t="s">
        <v>239</v>
      </c>
      <c r="E78" s="26" t="s">
        <v>240</v>
      </c>
      <c r="F78" s="24">
        <v>900.0</v>
      </c>
      <c r="G78" s="28"/>
    </row>
    <row r="79" ht="22.5" customHeight="1">
      <c r="A79" s="14" t="b">
        <v>1</v>
      </c>
      <c r="B79" s="15">
        <v>75.0</v>
      </c>
      <c r="C79" s="16" t="s">
        <v>241</v>
      </c>
      <c r="D79" s="32" t="s">
        <v>242</v>
      </c>
      <c r="E79" s="18" t="s">
        <v>243</v>
      </c>
      <c r="F79" s="30">
        <v>4500.0</v>
      </c>
      <c r="G79" s="35"/>
    </row>
    <row r="80" ht="22.5" customHeight="1">
      <c r="A80" s="22" t="b">
        <v>1</v>
      </c>
      <c r="B80" s="23">
        <v>76.0</v>
      </c>
      <c r="C80" s="24" t="s">
        <v>244</v>
      </c>
      <c r="D80" s="34" t="s">
        <v>245</v>
      </c>
      <c r="E80" s="26" t="s">
        <v>246</v>
      </c>
      <c r="F80" s="24">
        <v>300.0</v>
      </c>
      <c r="G80" s="41"/>
    </row>
    <row r="81" ht="22.5" customHeight="1">
      <c r="A81" s="14" t="b">
        <v>1</v>
      </c>
      <c r="B81" s="15">
        <v>77.0</v>
      </c>
      <c r="C81" s="16" t="s">
        <v>247</v>
      </c>
      <c r="D81" s="32" t="s">
        <v>248</v>
      </c>
      <c r="E81" s="18" t="s">
        <v>249</v>
      </c>
      <c r="F81" s="30">
        <v>2500.0</v>
      </c>
      <c r="G81" s="19"/>
    </row>
    <row r="82" ht="22.5" customHeight="1">
      <c r="A82" s="22" t="b">
        <v>0</v>
      </c>
      <c r="B82" s="23">
        <v>78.0</v>
      </c>
      <c r="C82" s="24" t="s">
        <v>250</v>
      </c>
      <c r="D82" s="34" t="s">
        <v>251</v>
      </c>
      <c r="E82" s="26" t="s">
        <v>252</v>
      </c>
      <c r="F82" s="27">
        <v>5000.0</v>
      </c>
      <c r="G82" s="28"/>
    </row>
    <row r="83" ht="22.5" customHeight="1">
      <c r="A83" s="14" t="b">
        <v>1</v>
      </c>
      <c r="B83" s="15">
        <v>79.0</v>
      </c>
      <c r="C83" s="16" t="s">
        <v>253</v>
      </c>
      <c r="D83" s="32" t="s">
        <v>254</v>
      </c>
      <c r="E83" s="18" t="s">
        <v>255</v>
      </c>
      <c r="F83" s="30">
        <v>1000.0</v>
      </c>
      <c r="G83" s="19"/>
    </row>
    <row r="84" ht="22.5" customHeight="1">
      <c r="A84" s="22" t="b">
        <v>1</v>
      </c>
      <c r="B84" s="23">
        <v>80.0</v>
      </c>
      <c r="C84" s="24" t="s">
        <v>256</v>
      </c>
      <c r="D84" s="34" t="s">
        <v>257</v>
      </c>
      <c r="E84" s="26" t="s">
        <v>258</v>
      </c>
      <c r="F84" s="27">
        <v>1800.0</v>
      </c>
      <c r="G84" s="28"/>
    </row>
    <row r="85" ht="22.5" customHeight="1">
      <c r="A85" s="14" t="b">
        <v>1</v>
      </c>
      <c r="B85" s="15">
        <v>81.0</v>
      </c>
      <c r="C85" s="16" t="s">
        <v>259</v>
      </c>
      <c r="D85" s="32" t="s">
        <v>260</v>
      </c>
      <c r="E85" s="18" t="s">
        <v>261</v>
      </c>
      <c r="F85" s="30">
        <v>2000.0</v>
      </c>
      <c r="G85" s="35"/>
    </row>
    <row r="86" ht="22.5" customHeight="1">
      <c r="A86" s="22" t="b">
        <v>1</v>
      </c>
      <c r="B86" s="23">
        <v>82.0</v>
      </c>
      <c r="C86" s="24" t="s">
        <v>262</v>
      </c>
      <c r="D86" s="34" t="s">
        <v>263</v>
      </c>
      <c r="E86" s="26" t="s">
        <v>264</v>
      </c>
      <c r="F86" s="24">
        <v>600.0</v>
      </c>
      <c r="G86" s="41"/>
    </row>
    <row r="87" ht="22.5" customHeight="1">
      <c r="A87" s="14" t="b">
        <v>1</v>
      </c>
      <c r="B87" s="15">
        <v>83.0</v>
      </c>
      <c r="C87" s="16" t="s">
        <v>265</v>
      </c>
      <c r="D87" s="32" t="s">
        <v>266</v>
      </c>
      <c r="E87" s="18" t="s">
        <v>267</v>
      </c>
      <c r="F87" s="30">
        <v>3500.0</v>
      </c>
      <c r="G87" s="19"/>
    </row>
    <row r="88" ht="22.5" customHeight="1">
      <c r="A88" s="22" t="b">
        <v>1</v>
      </c>
      <c r="B88" s="23">
        <v>84.0</v>
      </c>
      <c r="C88" s="24" t="s">
        <v>268</v>
      </c>
      <c r="D88" s="34" t="s">
        <v>269</v>
      </c>
      <c r="E88" s="26" t="s">
        <v>270</v>
      </c>
      <c r="F88" s="27">
        <v>1200.0</v>
      </c>
      <c r="G88" s="28"/>
    </row>
    <row r="89" ht="22.5" customHeight="1">
      <c r="A89" s="14" t="b">
        <v>1</v>
      </c>
      <c r="B89" s="15">
        <v>85.0</v>
      </c>
      <c r="C89" s="16" t="s">
        <v>271</v>
      </c>
      <c r="D89" s="32" t="s">
        <v>272</v>
      </c>
      <c r="E89" s="18" t="s">
        <v>273</v>
      </c>
      <c r="F89" s="30">
        <v>2500.0</v>
      </c>
      <c r="G89" s="19"/>
    </row>
    <row r="90" ht="22.5" customHeight="1">
      <c r="A90" s="22" t="b">
        <v>1</v>
      </c>
      <c r="B90" s="23">
        <v>86.0</v>
      </c>
      <c r="C90" s="24" t="s">
        <v>274</v>
      </c>
      <c r="D90" s="34" t="s">
        <v>275</v>
      </c>
      <c r="E90" s="26" t="s">
        <v>276</v>
      </c>
      <c r="F90" s="24">
        <v>400.0</v>
      </c>
      <c r="G90" s="41"/>
    </row>
    <row r="91" ht="22.5" customHeight="1">
      <c r="A91" s="14" t="b">
        <v>1</v>
      </c>
      <c r="B91" s="15">
        <v>87.0</v>
      </c>
      <c r="C91" s="16" t="s">
        <v>277</v>
      </c>
      <c r="D91" s="32" t="s">
        <v>278</v>
      </c>
      <c r="E91" s="18" t="s">
        <v>279</v>
      </c>
      <c r="F91" s="30">
        <v>1000.0</v>
      </c>
      <c r="G91" s="35"/>
    </row>
    <row r="92" ht="22.5" customHeight="1">
      <c r="A92" s="22" t="b">
        <v>1</v>
      </c>
      <c r="B92" s="23">
        <v>88.0</v>
      </c>
      <c r="C92" s="24" t="s">
        <v>280</v>
      </c>
      <c r="D92" s="34" t="s">
        <v>281</v>
      </c>
      <c r="E92" s="26" t="s">
        <v>282</v>
      </c>
      <c r="F92" s="27">
        <v>5000.0</v>
      </c>
      <c r="G92" s="28"/>
    </row>
    <row r="93" ht="22.5" customHeight="1">
      <c r="A93" s="14" t="b">
        <v>1</v>
      </c>
      <c r="B93" s="15">
        <v>89.0</v>
      </c>
      <c r="C93" s="16" t="s">
        <v>283</v>
      </c>
      <c r="D93" s="32" t="s">
        <v>284</v>
      </c>
      <c r="E93" s="18" t="s">
        <v>285</v>
      </c>
      <c r="F93" s="30">
        <v>1500.0</v>
      </c>
      <c r="G93" s="19"/>
    </row>
    <row r="94" ht="22.5" customHeight="1">
      <c r="A94" s="22" t="b">
        <v>0</v>
      </c>
      <c r="B94" s="23">
        <v>90.0</v>
      </c>
      <c r="C94" s="24" t="s">
        <v>286</v>
      </c>
      <c r="D94" s="34" t="s">
        <v>287</v>
      </c>
      <c r="E94" s="26" t="s">
        <v>288</v>
      </c>
      <c r="F94" s="27">
        <v>2000.0</v>
      </c>
      <c r="G94" s="28"/>
    </row>
    <row r="95" ht="22.5" customHeight="1">
      <c r="A95" s="14" t="b">
        <v>1</v>
      </c>
      <c r="B95" s="15">
        <v>91.0</v>
      </c>
      <c r="C95" s="16" t="s">
        <v>289</v>
      </c>
      <c r="D95" s="32" t="s">
        <v>290</v>
      </c>
      <c r="E95" s="18" t="s">
        <v>291</v>
      </c>
      <c r="F95" s="16">
        <v>800.0</v>
      </c>
      <c r="G95" s="19"/>
    </row>
    <row r="96" ht="22.5" customHeight="1">
      <c r="A96" s="22" t="b">
        <v>1</v>
      </c>
      <c r="B96" s="23">
        <v>92.0</v>
      </c>
      <c r="C96" s="24" t="s">
        <v>292</v>
      </c>
      <c r="D96" s="34" t="s">
        <v>293</v>
      </c>
      <c r="E96" s="26" t="s">
        <v>294</v>
      </c>
      <c r="F96" s="27">
        <v>4000.0</v>
      </c>
      <c r="G96" s="28"/>
    </row>
    <row r="97" ht="22.5" customHeight="1">
      <c r="A97" s="14" t="b">
        <v>1</v>
      </c>
      <c r="B97" s="15">
        <v>93.0</v>
      </c>
      <c r="C97" s="16" t="s">
        <v>295</v>
      </c>
      <c r="D97" s="32" t="s">
        <v>296</v>
      </c>
      <c r="E97" s="18" t="s">
        <v>297</v>
      </c>
      <c r="F97" s="30">
        <v>1000.0</v>
      </c>
      <c r="G97" s="19"/>
    </row>
    <row r="98" ht="22.5" customHeight="1">
      <c r="A98" s="22" t="b">
        <v>1</v>
      </c>
      <c r="B98" s="23">
        <v>94.0</v>
      </c>
      <c r="C98" s="24" t="s">
        <v>298</v>
      </c>
      <c r="D98" s="34" t="s">
        <v>299</v>
      </c>
      <c r="E98" s="26" t="s">
        <v>300</v>
      </c>
      <c r="F98" s="27">
        <v>2200.0</v>
      </c>
      <c r="G98" s="28"/>
    </row>
    <row r="99" ht="22.5" customHeight="1">
      <c r="A99" s="14" t="b">
        <v>1</v>
      </c>
      <c r="B99" s="15">
        <v>95.0</v>
      </c>
      <c r="C99" s="16" t="s">
        <v>301</v>
      </c>
      <c r="D99" s="32" t="s">
        <v>302</v>
      </c>
      <c r="E99" s="18" t="s">
        <v>303</v>
      </c>
      <c r="F99" s="16">
        <v>500.0</v>
      </c>
      <c r="G99" s="19"/>
    </row>
    <row r="100" ht="22.5" customHeight="1">
      <c r="A100" s="22" t="b">
        <v>1</v>
      </c>
      <c r="B100" s="23">
        <v>96.0</v>
      </c>
      <c r="C100" s="24" t="s">
        <v>304</v>
      </c>
      <c r="D100" s="34" t="s">
        <v>305</v>
      </c>
      <c r="E100" s="26" t="s">
        <v>306</v>
      </c>
      <c r="F100" s="27">
        <v>3000.0</v>
      </c>
      <c r="G100" s="28"/>
    </row>
    <row r="101" ht="22.5" customHeight="1">
      <c r="A101" s="14" t="b">
        <v>1</v>
      </c>
      <c r="B101" s="15">
        <v>97.0</v>
      </c>
      <c r="C101" s="16" t="s">
        <v>307</v>
      </c>
      <c r="D101" s="32" t="s">
        <v>308</v>
      </c>
      <c r="E101" s="18" t="s">
        <v>309</v>
      </c>
      <c r="F101" s="30">
        <v>1200.0</v>
      </c>
      <c r="G101" s="19"/>
    </row>
    <row r="102" ht="22.5" customHeight="1">
      <c r="A102" s="22" t="b">
        <v>1</v>
      </c>
      <c r="B102" s="23">
        <v>98.0</v>
      </c>
      <c r="C102" s="24" t="s">
        <v>310</v>
      </c>
      <c r="D102" s="34" t="s">
        <v>311</v>
      </c>
      <c r="E102" s="26" t="s">
        <v>312</v>
      </c>
      <c r="F102" s="27">
        <v>2500.0</v>
      </c>
      <c r="G102" s="28"/>
    </row>
    <row r="103" ht="22.5" customHeight="1">
      <c r="A103" s="14" t="b">
        <v>1</v>
      </c>
      <c r="B103" s="15">
        <v>99.0</v>
      </c>
      <c r="C103" s="16" t="s">
        <v>313</v>
      </c>
      <c r="D103" s="32" t="s">
        <v>314</v>
      </c>
      <c r="E103" s="18" t="s">
        <v>315</v>
      </c>
      <c r="F103" s="30">
        <v>5000.0</v>
      </c>
      <c r="G103" s="19"/>
    </row>
    <row r="104" ht="22.5" customHeight="1">
      <c r="A104" s="22" t="b">
        <v>1</v>
      </c>
      <c r="B104" s="23">
        <v>100.0</v>
      </c>
      <c r="C104" s="24" t="s">
        <v>316</v>
      </c>
      <c r="D104" s="34" t="s">
        <v>317</v>
      </c>
      <c r="E104" s="26" t="s">
        <v>318</v>
      </c>
      <c r="F104" s="24">
        <v>700.0</v>
      </c>
      <c r="G104" s="28"/>
    </row>
    <row r="105" ht="22.5" customHeight="1">
      <c r="A105" s="14" t="b">
        <v>1</v>
      </c>
      <c r="B105" s="15">
        <v>101.0</v>
      </c>
      <c r="C105" s="16" t="s">
        <v>319</v>
      </c>
      <c r="D105" s="32" t="s">
        <v>320</v>
      </c>
      <c r="E105" s="18" t="s">
        <v>321</v>
      </c>
      <c r="F105" s="30">
        <v>1000.0</v>
      </c>
      <c r="G105" s="19"/>
    </row>
    <row r="106" ht="22.5" customHeight="1">
      <c r="A106" s="22" t="b">
        <v>1</v>
      </c>
      <c r="B106" s="23">
        <v>102.0</v>
      </c>
      <c r="C106" s="24" t="s">
        <v>322</v>
      </c>
      <c r="D106" s="34" t="s">
        <v>323</v>
      </c>
      <c r="E106" s="26" t="s">
        <v>324</v>
      </c>
      <c r="F106" s="27">
        <v>2000.0</v>
      </c>
      <c r="G106" s="28"/>
    </row>
    <row r="107" ht="22.5" customHeight="1">
      <c r="A107" s="14" t="b">
        <v>1</v>
      </c>
      <c r="B107" s="15">
        <v>103.0</v>
      </c>
      <c r="C107" s="16" t="s">
        <v>325</v>
      </c>
      <c r="D107" s="32" t="s">
        <v>326</v>
      </c>
      <c r="E107" s="18" t="s">
        <v>327</v>
      </c>
      <c r="F107" s="30">
        <v>1500.0</v>
      </c>
      <c r="G107" s="19"/>
    </row>
    <row r="108" ht="22.5" customHeight="1">
      <c r="A108" s="22" t="b">
        <v>1</v>
      </c>
      <c r="B108" s="23">
        <v>104.0</v>
      </c>
      <c r="C108" s="24" t="s">
        <v>328</v>
      </c>
      <c r="D108" s="34" t="s">
        <v>329</v>
      </c>
      <c r="E108" s="26" t="s">
        <v>330</v>
      </c>
      <c r="F108" s="24">
        <v>900.0</v>
      </c>
      <c r="G108" s="28"/>
    </row>
    <row r="109" ht="22.5" customHeight="1">
      <c r="A109" s="14" t="b">
        <v>1</v>
      </c>
      <c r="B109" s="15">
        <v>105.0</v>
      </c>
      <c r="C109" s="16" t="s">
        <v>331</v>
      </c>
      <c r="D109" s="32" t="s">
        <v>332</v>
      </c>
      <c r="E109" s="18" t="s">
        <v>333</v>
      </c>
      <c r="F109" s="30">
        <v>3500.0</v>
      </c>
      <c r="G109" s="19"/>
    </row>
    <row r="110" ht="22.5" customHeight="1">
      <c r="A110" s="22" t="b">
        <v>1</v>
      </c>
      <c r="B110" s="23">
        <v>106.0</v>
      </c>
      <c r="C110" s="24" t="s">
        <v>334</v>
      </c>
      <c r="D110" s="34" t="s">
        <v>335</v>
      </c>
      <c r="E110" s="26" t="s">
        <v>336</v>
      </c>
      <c r="F110" s="24">
        <v>200.0</v>
      </c>
      <c r="G110" s="28"/>
    </row>
    <row r="111" ht="22.5" customHeight="1">
      <c r="A111" s="14" t="b">
        <v>1</v>
      </c>
      <c r="B111" s="15">
        <v>107.0</v>
      </c>
      <c r="C111" s="16" t="s">
        <v>337</v>
      </c>
      <c r="D111" s="32" t="s">
        <v>338</v>
      </c>
      <c r="E111" s="18" t="s">
        <v>339</v>
      </c>
      <c r="F111" s="30">
        <v>2500.0</v>
      </c>
      <c r="G111" s="19"/>
    </row>
    <row r="112" ht="22.5" customHeight="1">
      <c r="A112" s="22" t="b">
        <v>1</v>
      </c>
      <c r="B112" s="23">
        <v>108.0</v>
      </c>
      <c r="C112" s="24" t="s">
        <v>340</v>
      </c>
      <c r="D112" s="34" t="s">
        <v>341</v>
      </c>
      <c r="E112" s="26" t="s">
        <v>342</v>
      </c>
      <c r="F112" s="27">
        <v>1000.0</v>
      </c>
      <c r="G112" s="41"/>
    </row>
    <row r="113" ht="22.5" customHeight="1">
      <c r="A113" s="14" t="b">
        <v>1</v>
      </c>
      <c r="B113" s="15">
        <v>109.0</v>
      </c>
      <c r="C113" s="16" t="s">
        <v>343</v>
      </c>
      <c r="D113" s="32" t="s">
        <v>344</v>
      </c>
      <c r="E113" s="18" t="s">
        <v>345</v>
      </c>
      <c r="F113" s="30">
        <v>4000.0</v>
      </c>
      <c r="G113" s="19"/>
    </row>
    <row r="114" ht="22.5" customHeight="1">
      <c r="A114" s="22" t="b">
        <v>1</v>
      </c>
      <c r="B114" s="23">
        <v>110.0</v>
      </c>
      <c r="C114" s="24" t="s">
        <v>346</v>
      </c>
      <c r="D114" s="34" t="s">
        <v>347</v>
      </c>
      <c r="E114" s="26" t="s">
        <v>348</v>
      </c>
      <c r="F114" s="27">
        <v>1200.0</v>
      </c>
      <c r="G114" s="28"/>
    </row>
    <row r="115" ht="22.5" customHeight="1">
      <c r="A115" s="14" t="b">
        <v>1</v>
      </c>
      <c r="B115" s="15">
        <v>111.0</v>
      </c>
      <c r="C115" s="16" t="s">
        <v>349</v>
      </c>
      <c r="D115" s="32" t="s">
        <v>350</v>
      </c>
      <c r="E115" s="18" t="s">
        <v>351</v>
      </c>
      <c r="F115" s="30">
        <v>2000.0</v>
      </c>
      <c r="G115" s="19"/>
    </row>
    <row r="116" ht="22.5" customHeight="1">
      <c r="A116" s="22" t="b">
        <v>1</v>
      </c>
      <c r="B116" s="23">
        <v>112.0</v>
      </c>
      <c r="C116" s="24" t="s">
        <v>352</v>
      </c>
      <c r="D116" s="34" t="s">
        <v>353</v>
      </c>
      <c r="E116" s="26" t="s">
        <v>354</v>
      </c>
      <c r="F116" s="27">
        <v>5000.0</v>
      </c>
      <c r="G116" s="41"/>
    </row>
    <row r="117" ht="22.5" customHeight="1">
      <c r="A117" s="14" t="b">
        <v>1</v>
      </c>
      <c r="B117" s="15">
        <v>113.0</v>
      </c>
      <c r="C117" s="16" t="s">
        <v>355</v>
      </c>
      <c r="D117" s="32" t="s">
        <v>356</v>
      </c>
      <c r="E117" s="18" t="s">
        <v>357</v>
      </c>
      <c r="F117" s="16">
        <v>600.0</v>
      </c>
      <c r="G117" s="19"/>
    </row>
    <row r="118" ht="22.5" customHeight="1">
      <c r="A118" s="22" t="b">
        <v>1</v>
      </c>
      <c r="B118" s="23">
        <v>114.0</v>
      </c>
      <c r="C118" s="24" t="s">
        <v>358</v>
      </c>
      <c r="D118" s="34" t="s">
        <v>359</v>
      </c>
      <c r="E118" s="26" t="s">
        <v>360</v>
      </c>
      <c r="F118" s="27">
        <v>1500.0</v>
      </c>
      <c r="G118" s="28"/>
    </row>
    <row r="119" ht="22.5" customHeight="1">
      <c r="A119" s="14" t="b">
        <v>1</v>
      </c>
      <c r="B119" s="15">
        <v>115.0</v>
      </c>
      <c r="C119" s="16" t="s">
        <v>361</v>
      </c>
      <c r="D119" s="32" t="s">
        <v>362</v>
      </c>
      <c r="E119" s="18" t="s">
        <v>363</v>
      </c>
      <c r="F119" s="30">
        <v>3000.0</v>
      </c>
      <c r="G119" s="19"/>
    </row>
    <row r="120" ht="22.5" customHeight="1">
      <c r="A120" s="22" t="b">
        <v>1</v>
      </c>
      <c r="B120" s="23">
        <v>116.0</v>
      </c>
      <c r="C120" s="24" t="s">
        <v>364</v>
      </c>
      <c r="D120" s="34" t="s">
        <v>365</v>
      </c>
      <c r="E120" s="26" t="s">
        <v>366</v>
      </c>
      <c r="F120" s="27">
        <v>1000.0</v>
      </c>
    </row>
    <row r="121" ht="22.5" customHeight="1">
      <c r="A121" s="14" t="b">
        <v>1</v>
      </c>
      <c r="B121" s="15">
        <v>117.0</v>
      </c>
      <c r="C121" s="16" t="s">
        <v>367</v>
      </c>
      <c r="D121" s="32" t="s">
        <v>368</v>
      </c>
      <c r="E121" s="18" t="s">
        <v>369</v>
      </c>
      <c r="F121" s="16">
        <v>800.0</v>
      </c>
    </row>
    <row r="122" ht="22.5" customHeight="1">
      <c r="A122" s="22" t="b">
        <v>1</v>
      </c>
      <c r="B122" s="23">
        <v>118.0</v>
      </c>
      <c r="C122" s="24" t="s">
        <v>370</v>
      </c>
      <c r="D122" s="34" t="s">
        <v>371</v>
      </c>
      <c r="E122" s="26" t="s">
        <v>372</v>
      </c>
      <c r="F122" s="27">
        <v>2500.0</v>
      </c>
      <c r="G122" s="28"/>
    </row>
    <row r="123" ht="22.5" customHeight="1">
      <c r="A123" s="14" t="b">
        <v>1</v>
      </c>
      <c r="B123" s="15">
        <v>119.0</v>
      </c>
      <c r="C123" s="16" t="s">
        <v>373</v>
      </c>
      <c r="D123" s="32" t="s">
        <v>374</v>
      </c>
      <c r="E123" s="18" t="s">
        <v>375</v>
      </c>
      <c r="F123" s="16">
        <v>400.0</v>
      </c>
      <c r="G123" s="19"/>
    </row>
    <row r="124" ht="22.5" customHeight="1">
      <c r="A124" s="22" t="b">
        <v>1</v>
      </c>
      <c r="B124" s="23">
        <v>120.0</v>
      </c>
      <c r="C124" s="24" t="s">
        <v>376</v>
      </c>
      <c r="D124" s="34" t="s">
        <v>377</v>
      </c>
      <c r="E124" s="26" t="s">
        <v>378</v>
      </c>
      <c r="F124" s="27">
        <v>4500.0</v>
      </c>
      <c r="G124" s="28"/>
    </row>
    <row r="125" ht="22.5" customHeight="1">
      <c r="A125" s="14" t="b">
        <v>1</v>
      </c>
      <c r="B125" s="15">
        <v>121.0</v>
      </c>
      <c r="C125" s="16" t="s">
        <v>379</v>
      </c>
      <c r="D125" s="32" t="s">
        <v>380</v>
      </c>
      <c r="E125" s="18" t="s">
        <v>381</v>
      </c>
      <c r="F125" s="30">
        <v>1000.0</v>
      </c>
      <c r="G125" s="19"/>
    </row>
    <row r="126" ht="22.5" customHeight="1">
      <c r="A126" s="22" t="b">
        <v>0</v>
      </c>
      <c r="B126" s="23">
        <v>122.0</v>
      </c>
      <c r="C126" s="24" t="s">
        <v>382</v>
      </c>
      <c r="D126" s="34" t="s">
        <v>383</v>
      </c>
      <c r="E126" s="26" t="s">
        <v>384</v>
      </c>
      <c r="F126" s="27">
        <v>2000.0</v>
      </c>
      <c r="G126" s="28"/>
    </row>
    <row r="127" ht="22.5" customHeight="1">
      <c r="A127" s="14" t="b">
        <v>1</v>
      </c>
      <c r="B127" s="15">
        <v>123.0</v>
      </c>
      <c r="C127" s="16" t="s">
        <v>385</v>
      </c>
      <c r="D127" s="32" t="s">
        <v>386</v>
      </c>
      <c r="E127" s="18" t="s">
        <v>387</v>
      </c>
      <c r="F127" s="30">
        <v>5000.0</v>
      </c>
      <c r="G127" s="19"/>
    </row>
    <row r="128" ht="22.5" customHeight="1">
      <c r="A128" s="22" t="b">
        <v>1</v>
      </c>
      <c r="B128" s="23">
        <v>124.0</v>
      </c>
      <c r="C128" s="24" t="s">
        <v>388</v>
      </c>
      <c r="D128" s="34" t="s">
        <v>389</v>
      </c>
      <c r="E128" s="26" t="s">
        <v>390</v>
      </c>
      <c r="F128" s="27">
        <v>1200.0</v>
      </c>
      <c r="G128" s="28"/>
    </row>
    <row r="129" ht="22.5" customHeight="1">
      <c r="A129" s="14" t="b">
        <v>1</v>
      </c>
      <c r="B129" s="15">
        <v>125.0</v>
      </c>
      <c r="C129" s="16" t="s">
        <v>391</v>
      </c>
      <c r="D129" s="32" t="s">
        <v>392</v>
      </c>
      <c r="E129" s="18" t="s">
        <v>393</v>
      </c>
      <c r="F129" s="16">
        <v>700.0</v>
      </c>
      <c r="G129" s="19"/>
    </row>
    <row r="130" ht="22.5" customHeight="1">
      <c r="A130" s="22" t="b">
        <v>1</v>
      </c>
      <c r="B130" s="23">
        <v>126.0</v>
      </c>
      <c r="C130" s="24" t="s">
        <v>394</v>
      </c>
      <c r="D130" s="34" t="s">
        <v>395</v>
      </c>
      <c r="E130" s="26" t="s">
        <v>396</v>
      </c>
      <c r="F130" s="27">
        <v>3500.0</v>
      </c>
      <c r="G130" s="28"/>
    </row>
    <row r="131" ht="22.5" customHeight="1">
      <c r="A131" s="14" t="b">
        <v>1</v>
      </c>
      <c r="B131" s="15">
        <v>127.0</v>
      </c>
      <c r="C131" s="16" t="s">
        <v>397</v>
      </c>
      <c r="D131" s="32" t="s">
        <v>398</v>
      </c>
      <c r="E131" s="18" t="s">
        <v>399</v>
      </c>
      <c r="F131" s="30">
        <v>1500.0</v>
      </c>
      <c r="G131" s="19"/>
    </row>
    <row r="132" ht="22.5" customHeight="1">
      <c r="A132" s="22" t="b">
        <v>1</v>
      </c>
      <c r="B132" s="23">
        <v>128.0</v>
      </c>
      <c r="C132" s="24" t="s">
        <v>400</v>
      </c>
      <c r="D132" s="34" t="s">
        <v>401</v>
      </c>
      <c r="E132" s="26" t="s">
        <v>402</v>
      </c>
      <c r="F132" s="27">
        <v>2200.0</v>
      </c>
      <c r="G132" s="28"/>
    </row>
    <row r="133" ht="22.5" customHeight="1">
      <c r="A133" s="14" t="b">
        <v>1</v>
      </c>
      <c r="B133" s="15">
        <v>129.0</v>
      </c>
      <c r="C133" s="16" t="s">
        <v>403</v>
      </c>
      <c r="D133" s="32" t="s">
        <v>404</v>
      </c>
      <c r="E133" s="18" t="s">
        <v>405</v>
      </c>
      <c r="F133" s="16">
        <v>300.0</v>
      </c>
      <c r="G133" s="19"/>
    </row>
    <row r="134" ht="22.5" customHeight="1">
      <c r="A134" s="22" t="b">
        <v>1</v>
      </c>
      <c r="B134" s="23">
        <v>130.0</v>
      </c>
      <c r="C134" s="24" t="s">
        <v>406</v>
      </c>
      <c r="D134" s="34" t="s">
        <v>407</v>
      </c>
      <c r="E134" s="26" t="s">
        <v>408</v>
      </c>
      <c r="F134" s="27">
        <v>1000.0</v>
      </c>
      <c r="G134" s="28"/>
    </row>
    <row r="135" ht="22.5" customHeight="1">
      <c r="A135" s="14" t="b">
        <v>1</v>
      </c>
      <c r="B135" s="15">
        <v>131.0</v>
      </c>
      <c r="C135" s="16" t="s">
        <v>409</v>
      </c>
      <c r="D135" s="32" t="s">
        <v>410</v>
      </c>
      <c r="E135" s="18" t="s">
        <v>411</v>
      </c>
      <c r="F135" s="30">
        <v>2500.0</v>
      </c>
      <c r="G135" s="19"/>
    </row>
    <row r="136" ht="22.5" customHeight="1">
      <c r="A136" s="22" t="b">
        <v>1</v>
      </c>
      <c r="B136" s="23">
        <v>132.0</v>
      </c>
      <c r="C136" s="24" t="s">
        <v>412</v>
      </c>
      <c r="D136" s="34" t="s">
        <v>413</v>
      </c>
      <c r="E136" s="26" t="s">
        <v>414</v>
      </c>
      <c r="F136" s="27">
        <v>1800.0</v>
      </c>
      <c r="G136" s="28"/>
    </row>
    <row r="137" ht="22.5" customHeight="1">
      <c r="A137" s="14" t="b">
        <v>1</v>
      </c>
      <c r="B137" s="15">
        <v>133.0</v>
      </c>
      <c r="C137" s="16" t="s">
        <v>415</v>
      </c>
      <c r="D137" s="32" t="s">
        <v>416</v>
      </c>
      <c r="E137" s="18" t="s">
        <v>417</v>
      </c>
      <c r="F137" s="16">
        <v>600.0</v>
      </c>
      <c r="G137" s="19"/>
    </row>
    <row r="138" ht="22.5" customHeight="1">
      <c r="A138" s="22" t="b">
        <v>1</v>
      </c>
      <c r="B138" s="23">
        <v>134.0</v>
      </c>
      <c r="C138" s="24" t="s">
        <v>418</v>
      </c>
      <c r="D138" s="34" t="s">
        <v>419</v>
      </c>
      <c r="E138" s="26" t="s">
        <v>420</v>
      </c>
      <c r="F138" s="27">
        <v>4000.0</v>
      </c>
      <c r="G138" s="28"/>
    </row>
    <row r="139" ht="22.5" customHeight="1">
      <c r="A139" s="14" t="b">
        <v>1</v>
      </c>
      <c r="B139" s="15">
        <v>135.0</v>
      </c>
      <c r="C139" s="16" t="s">
        <v>421</v>
      </c>
      <c r="D139" s="32" t="s">
        <v>422</v>
      </c>
      <c r="E139" s="18" t="s">
        <v>423</v>
      </c>
      <c r="F139" s="30">
        <v>1000.0</v>
      </c>
      <c r="G139" s="19"/>
    </row>
    <row r="140" ht="22.5" customHeight="1">
      <c r="A140" s="22" t="b">
        <v>1</v>
      </c>
      <c r="B140" s="23">
        <v>136.0</v>
      </c>
      <c r="C140" s="24" t="s">
        <v>424</v>
      </c>
      <c r="D140" s="34" t="s">
        <v>425</v>
      </c>
      <c r="E140" s="26" t="s">
        <v>426</v>
      </c>
      <c r="F140" s="27">
        <v>2000.0</v>
      </c>
      <c r="G140" s="28"/>
    </row>
    <row r="141" ht="22.5" customHeight="1">
      <c r="A141" s="14" t="b">
        <v>1</v>
      </c>
      <c r="B141" s="15">
        <v>137.0</v>
      </c>
      <c r="C141" s="16" t="s">
        <v>427</v>
      </c>
      <c r="D141" s="32" t="s">
        <v>428</v>
      </c>
      <c r="E141" s="18" t="s">
        <v>429</v>
      </c>
      <c r="F141" s="30">
        <v>5000.0</v>
      </c>
      <c r="G141" s="19"/>
    </row>
    <row r="142" ht="22.5" customHeight="1">
      <c r="A142" s="22" t="b">
        <v>1</v>
      </c>
      <c r="B142" s="23">
        <v>138.0</v>
      </c>
      <c r="C142" s="24" t="s">
        <v>430</v>
      </c>
      <c r="D142" s="34" t="s">
        <v>431</v>
      </c>
      <c r="E142" s="26" t="s">
        <v>432</v>
      </c>
      <c r="F142" s="24">
        <v>500.0</v>
      </c>
      <c r="G142" s="28"/>
    </row>
    <row r="143" ht="22.5" customHeight="1">
      <c r="A143" s="14" t="b">
        <v>0</v>
      </c>
      <c r="B143" s="15">
        <v>139.0</v>
      </c>
      <c r="C143" s="16" t="s">
        <v>433</v>
      </c>
      <c r="D143" s="32" t="s">
        <v>434</v>
      </c>
      <c r="E143" s="18" t="s">
        <v>435</v>
      </c>
      <c r="F143" s="30">
        <v>1500.0</v>
      </c>
      <c r="G143" s="19"/>
    </row>
    <row r="144" ht="22.5" customHeight="1">
      <c r="A144" s="22" t="b">
        <v>1</v>
      </c>
      <c r="B144" s="23">
        <v>140.0</v>
      </c>
      <c r="C144" s="24" t="s">
        <v>436</v>
      </c>
      <c r="D144" s="34" t="s">
        <v>437</v>
      </c>
      <c r="E144" s="26" t="s">
        <v>438</v>
      </c>
      <c r="F144" s="27">
        <v>3000.0</v>
      </c>
      <c r="G144" s="28"/>
    </row>
    <row r="145" ht="22.5" customHeight="1">
      <c r="A145" s="14" t="b">
        <v>1</v>
      </c>
      <c r="B145" s="15">
        <v>141.0</v>
      </c>
      <c r="C145" s="16" t="s">
        <v>439</v>
      </c>
      <c r="D145" s="32" t="s">
        <v>440</v>
      </c>
      <c r="E145" s="18" t="s">
        <v>441</v>
      </c>
      <c r="F145" s="30">
        <v>1200.0</v>
      </c>
      <c r="G145" s="19"/>
    </row>
    <row r="146" ht="22.5" customHeight="1">
      <c r="A146" s="22" t="b">
        <v>0</v>
      </c>
      <c r="B146" s="23">
        <v>142.0</v>
      </c>
      <c r="C146" s="24" t="s">
        <v>442</v>
      </c>
      <c r="D146" s="34" t="s">
        <v>443</v>
      </c>
      <c r="E146" s="26" t="s">
        <v>444</v>
      </c>
      <c r="F146" s="24">
        <v>900.0</v>
      </c>
      <c r="G146" s="28"/>
    </row>
    <row r="147" ht="22.5" customHeight="1">
      <c r="A147" s="14" t="b">
        <v>1</v>
      </c>
      <c r="B147" s="15">
        <v>143.0</v>
      </c>
      <c r="C147" s="16" t="s">
        <v>445</v>
      </c>
      <c r="D147" s="32" t="s">
        <v>446</v>
      </c>
      <c r="E147" s="18" t="s">
        <v>447</v>
      </c>
      <c r="F147" s="30">
        <v>2500.0</v>
      </c>
      <c r="G147" s="19"/>
    </row>
    <row r="148" ht="22.5" customHeight="1">
      <c r="A148" s="22" t="b">
        <v>1</v>
      </c>
      <c r="B148" s="23">
        <v>144.0</v>
      </c>
      <c r="C148" s="24" t="s">
        <v>448</v>
      </c>
      <c r="D148" s="34" t="s">
        <v>449</v>
      </c>
      <c r="E148" s="26" t="s">
        <v>450</v>
      </c>
      <c r="F148" s="24">
        <v>200.0</v>
      </c>
      <c r="G148" s="28"/>
    </row>
    <row r="149" ht="22.5" customHeight="1">
      <c r="A149" s="14" t="b">
        <v>1</v>
      </c>
      <c r="B149" s="15">
        <v>145.0</v>
      </c>
      <c r="C149" s="16" t="s">
        <v>451</v>
      </c>
      <c r="D149" s="32" t="s">
        <v>452</v>
      </c>
      <c r="E149" s="18" t="s">
        <v>453</v>
      </c>
      <c r="F149" s="30">
        <v>1000.0</v>
      </c>
      <c r="G149" s="19"/>
    </row>
    <row r="150" ht="22.5" customHeight="1">
      <c r="A150" s="22" t="b">
        <v>1</v>
      </c>
      <c r="B150" s="23">
        <v>146.0</v>
      </c>
      <c r="C150" s="24" t="s">
        <v>454</v>
      </c>
      <c r="D150" s="34" t="s">
        <v>455</v>
      </c>
      <c r="E150" s="26" t="s">
        <v>456</v>
      </c>
      <c r="F150" s="27">
        <v>4500.0</v>
      </c>
      <c r="G150" s="28"/>
    </row>
    <row r="151" ht="22.5" customHeight="1">
      <c r="A151" s="14" t="b">
        <v>1</v>
      </c>
      <c r="B151" s="15">
        <v>147.0</v>
      </c>
      <c r="C151" s="16" t="s">
        <v>457</v>
      </c>
      <c r="D151" s="32" t="s">
        <v>458</v>
      </c>
      <c r="E151" s="18" t="s">
        <v>459</v>
      </c>
      <c r="F151" s="30">
        <v>2000.0</v>
      </c>
      <c r="G151" s="19"/>
    </row>
    <row r="152" ht="22.5" customHeight="1">
      <c r="A152" s="22" t="b">
        <v>1</v>
      </c>
      <c r="B152" s="23">
        <v>148.0</v>
      </c>
      <c r="C152" s="24" t="s">
        <v>460</v>
      </c>
      <c r="D152" s="34" t="s">
        <v>461</v>
      </c>
      <c r="E152" s="26" t="s">
        <v>462</v>
      </c>
      <c r="F152" s="27">
        <v>5000.0</v>
      </c>
      <c r="G152" s="28"/>
    </row>
    <row r="153" ht="22.5" customHeight="1">
      <c r="A153" s="14" t="b">
        <v>0</v>
      </c>
      <c r="B153" s="15">
        <v>149.0</v>
      </c>
      <c r="C153" s="16" t="s">
        <v>463</v>
      </c>
      <c r="D153" s="32" t="s">
        <v>464</v>
      </c>
      <c r="E153" s="18" t="s">
        <v>465</v>
      </c>
      <c r="F153" s="16">
        <v>700.0</v>
      </c>
      <c r="G153" s="19"/>
    </row>
    <row r="154" ht="22.5" customHeight="1">
      <c r="A154" s="22" t="b">
        <v>1</v>
      </c>
      <c r="B154" s="23">
        <v>150.0</v>
      </c>
      <c r="C154" s="24" t="s">
        <v>466</v>
      </c>
      <c r="D154" s="34" t="s">
        <v>467</v>
      </c>
      <c r="E154" s="26" t="s">
        <v>468</v>
      </c>
      <c r="F154" s="27">
        <v>1500.0</v>
      </c>
      <c r="G154" s="28"/>
    </row>
    <row r="155" ht="22.5" customHeight="1">
      <c r="A155" s="14" t="b">
        <v>1</v>
      </c>
      <c r="B155" s="15">
        <v>151.0</v>
      </c>
      <c r="C155" s="16" t="s">
        <v>469</v>
      </c>
      <c r="D155" s="32" t="s">
        <v>470</v>
      </c>
      <c r="E155" s="18" t="s">
        <v>471</v>
      </c>
      <c r="F155" s="30">
        <v>3500.0</v>
      </c>
      <c r="G155" s="19"/>
    </row>
    <row r="156" ht="22.5" customHeight="1">
      <c r="A156" s="22" t="b">
        <v>1</v>
      </c>
      <c r="B156" s="23">
        <v>152.0</v>
      </c>
      <c r="C156" s="24" t="s">
        <v>472</v>
      </c>
      <c r="D156" s="34" t="s">
        <v>473</v>
      </c>
      <c r="E156" s="26" t="s">
        <v>474</v>
      </c>
      <c r="F156" s="27">
        <v>1000.0</v>
      </c>
      <c r="G156" s="28"/>
    </row>
    <row r="157" ht="22.5" customHeight="1">
      <c r="A157" s="14" t="b">
        <v>1</v>
      </c>
      <c r="B157" s="15">
        <v>153.0</v>
      </c>
      <c r="C157" s="16" t="s">
        <v>475</v>
      </c>
      <c r="D157" s="32" t="s">
        <v>476</v>
      </c>
      <c r="E157" s="18" t="s">
        <v>477</v>
      </c>
      <c r="F157" s="16">
        <v>800.0</v>
      </c>
      <c r="G157" s="19"/>
    </row>
    <row r="158" ht="22.5" customHeight="1">
      <c r="A158" s="22" t="b">
        <v>1</v>
      </c>
      <c r="B158" s="23">
        <v>154.0</v>
      </c>
      <c r="C158" s="24" t="s">
        <v>478</v>
      </c>
      <c r="D158" s="34" t="s">
        <v>479</v>
      </c>
      <c r="E158" s="26" t="s">
        <v>480</v>
      </c>
      <c r="F158" s="27">
        <v>2200.0</v>
      </c>
      <c r="G158" s="28"/>
    </row>
    <row r="159" ht="22.5" customHeight="1">
      <c r="A159" s="14" t="b">
        <v>1</v>
      </c>
      <c r="B159" s="15">
        <v>155.0</v>
      </c>
      <c r="C159" s="16" t="s">
        <v>481</v>
      </c>
      <c r="D159" s="32" t="s">
        <v>482</v>
      </c>
      <c r="E159" s="18" t="s">
        <v>483</v>
      </c>
      <c r="F159" s="30">
        <v>1200.0</v>
      </c>
      <c r="G159" s="19"/>
    </row>
    <row r="160" ht="22.5" customHeight="1">
      <c r="A160" s="22" t="b">
        <v>1</v>
      </c>
      <c r="B160" s="23">
        <v>156.0</v>
      </c>
      <c r="C160" s="24" t="s">
        <v>484</v>
      </c>
      <c r="D160" s="34" t="s">
        <v>485</v>
      </c>
      <c r="E160" s="26" t="s">
        <v>486</v>
      </c>
      <c r="F160" s="27">
        <v>4000.0</v>
      </c>
      <c r="G160" s="28"/>
    </row>
    <row r="161" ht="22.5" customHeight="1">
      <c r="A161" s="14" t="b">
        <v>1</v>
      </c>
      <c r="B161" s="15">
        <v>157.0</v>
      </c>
      <c r="C161" s="16" t="s">
        <v>487</v>
      </c>
      <c r="D161" s="32" t="s">
        <v>488</v>
      </c>
      <c r="E161" s="18" t="s">
        <v>489</v>
      </c>
      <c r="F161" s="16">
        <v>500.0</v>
      </c>
      <c r="G161" s="19"/>
    </row>
    <row r="162" ht="22.5" customHeight="1">
      <c r="A162" s="22" t="b">
        <v>1</v>
      </c>
      <c r="B162" s="23">
        <v>158.0</v>
      </c>
      <c r="C162" s="24" t="s">
        <v>490</v>
      </c>
      <c r="D162" s="34" t="s">
        <v>491</v>
      </c>
      <c r="E162" s="26" t="s">
        <v>492</v>
      </c>
      <c r="F162" s="27">
        <v>2500.0</v>
      </c>
      <c r="G162" s="28"/>
    </row>
    <row r="163" ht="22.5" customHeight="1">
      <c r="A163" s="14" t="b">
        <v>0</v>
      </c>
      <c r="B163" s="15">
        <v>159.0</v>
      </c>
      <c r="C163" s="16" t="s">
        <v>493</v>
      </c>
      <c r="D163" s="32" t="s">
        <v>494</v>
      </c>
      <c r="E163" s="18" t="s">
        <v>495</v>
      </c>
      <c r="F163" s="30">
        <v>5000.0</v>
      </c>
      <c r="G163" s="19"/>
    </row>
    <row r="164" ht="22.5" customHeight="1">
      <c r="A164" s="22" t="b">
        <v>1</v>
      </c>
      <c r="B164" s="23">
        <v>160.0</v>
      </c>
      <c r="C164" s="24" t="s">
        <v>496</v>
      </c>
      <c r="D164" s="34" t="s">
        <v>497</v>
      </c>
      <c r="E164" s="26" t="s">
        <v>498</v>
      </c>
      <c r="F164" s="27">
        <v>1000.0</v>
      </c>
      <c r="G164" s="28"/>
    </row>
    <row r="165" ht="22.5" customHeight="1">
      <c r="A165" s="14" t="b">
        <v>1</v>
      </c>
      <c r="B165" s="15">
        <v>161.0</v>
      </c>
      <c r="C165" s="16" t="s">
        <v>499</v>
      </c>
      <c r="D165" s="32" t="s">
        <v>500</v>
      </c>
      <c r="E165" s="18" t="s">
        <v>501</v>
      </c>
      <c r="F165" s="30">
        <v>1500.0</v>
      </c>
      <c r="G165" s="19"/>
    </row>
    <row r="166" ht="22.5" customHeight="1">
      <c r="A166" s="22" t="b">
        <v>1</v>
      </c>
      <c r="B166" s="23">
        <v>162.0</v>
      </c>
      <c r="C166" s="24" t="s">
        <v>502</v>
      </c>
      <c r="D166" s="34" t="s">
        <v>503</v>
      </c>
      <c r="E166" s="26" t="s">
        <v>504</v>
      </c>
      <c r="F166" s="27">
        <v>3000.0</v>
      </c>
      <c r="G166" s="28"/>
    </row>
    <row r="167" ht="22.5" customHeight="1">
      <c r="A167" s="14" t="b">
        <v>1</v>
      </c>
      <c r="B167" s="15">
        <v>163.0</v>
      </c>
      <c r="C167" s="16" t="s">
        <v>505</v>
      </c>
      <c r="D167" s="32" t="s">
        <v>506</v>
      </c>
      <c r="E167" s="18" t="s">
        <v>507</v>
      </c>
      <c r="F167" s="16">
        <v>600.0</v>
      </c>
      <c r="G167" s="19"/>
    </row>
    <row r="168" ht="22.5" customHeight="1">
      <c r="A168" s="22" t="b">
        <v>1</v>
      </c>
      <c r="B168" s="23">
        <v>164.0</v>
      </c>
      <c r="C168" s="24" t="s">
        <v>508</v>
      </c>
      <c r="D168" s="34" t="s">
        <v>509</v>
      </c>
      <c r="E168" s="26" t="s">
        <v>510</v>
      </c>
      <c r="F168" s="27">
        <v>2000.0</v>
      </c>
      <c r="G168" s="28"/>
    </row>
    <row r="169" ht="22.5" customHeight="1">
      <c r="A169" s="14" t="b">
        <v>1</v>
      </c>
      <c r="B169" s="15">
        <v>165.0</v>
      </c>
      <c r="C169" s="16" t="s">
        <v>511</v>
      </c>
      <c r="D169" s="32" t="s">
        <v>512</v>
      </c>
      <c r="E169" s="18" t="s">
        <v>513</v>
      </c>
      <c r="F169" s="30">
        <v>1200.0</v>
      </c>
      <c r="G169" s="19"/>
    </row>
    <row r="170" ht="22.5" customHeight="1">
      <c r="A170" s="22" t="b">
        <v>1</v>
      </c>
      <c r="B170" s="23">
        <v>166.0</v>
      </c>
      <c r="C170" s="24" t="s">
        <v>514</v>
      </c>
      <c r="D170" s="34" t="s">
        <v>515</v>
      </c>
      <c r="E170" s="26" t="s">
        <v>516</v>
      </c>
      <c r="F170" s="27">
        <v>4500.0</v>
      </c>
      <c r="G170" s="28"/>
    </row>
    <row r="171" ht="22.5" customHeight="1">
      <c r="A171" s="14" t="b">
        <v>1</v>
      </c>
      <c r="B171" s="15">
        <v>167.0</v>
      </c>
      <c r="C171" s="16" t="s">
        <v>517</v>
      </c>
      <c r="D171" s="32" t="s">
        <v>518</v>
      </c>
      <c r="E171" s="18" t="s">
        <v>519</v>
      </c>
      <c r="F171" s="16">
        <v>300.0</v>
      </c>
      <c r="G171" s="19"/>
    </row>
    <row r="172" ht="22.5" customHeight="1">
      <c r="A172" s="22" t="b">
        <v>1</v>
      </c>
      <c r="B172" s="23">
        <v>168.0</v>
      </c>
      <c r="C172" s="24" t="s">
        <v>520</v>
      </c>
      <c r="D172" s="34" t="s">
        <v>521</v>
      </c>
      <c r="E172" s="26" t="s">
        <v>522</v>
      </c>
      <c r="F172" s="27">
        <v>1000.0</v>
      </c>
      <c r="G172" s="28"/>
    </row>
    <row r="173" ht="22.5" customHeight="1">
      <c r="A173" s="14" t="b">
        <v>1</v>
      </c>
      <c r="B173" s="15">
        <v>169.0</v>
      </c>
      <c r="C173" s="16" t="s">
        <v>523</v>
      </c>
      <c r="D173" s="32" t="s">
        <v>524</v>
      </c>
      <c r="E173" s="18" t="s">
        <v>525</v>
      </c>
      <c r="F173" s="30">
        <v>2500.0</v>
      </c>
      <c r="G173" s="19"/>
    </row>
    <row r="174" ht="22.5" customHeight="1">
      <c r="A174" s="22" t="b">
        <v>1</v>
      </c>
      <c r="B174" s="23">
        <v>170.0</v>
      </c>
      <c r="C174" s="24" t="s">
        <v>526</v>
      </c>
      <c r="D174" s="34" t="s">
        <v>527</v>
      </c>
      <c r="E174" s="26" t="s">
        <v>528</v>
      </c>
      <c r="F174" s="27">
        <v>5000.0</v>
      </c>
      <c r="G174" s="28"/>
    </row>
    <row r="175" ht="22.5" customHeight="1">
      <c r="A175" s="14" t="b">
        <v>1</v>
      </c>
      <c r="B175" s="15">
        <v>171.0</v>
      </c>
      <c r="C175" s="16" t="s">
        <v>529</v>
      </c>
      <c r="D175" s="32" t="s">
        <v>530</v>
      </c>
      <c r="E175" s="18" t="s">
        <v>531</v>
      </c>
      <c r="F175" s="30">
        <v>1500.0</v>
      </c>
      <c r="G175" s="19"/>
    </row>
    <row r="176" ht="22.5" customHeight="1">
      <c r="A176" s="22" t="b">
        <v>1</v>
      </c>
      <c r="B176" s="23">
        <v>172.0</v>
      </c>
      <c r="C176" s="24" t="s">
        <v>532</v>
      </c>
      <c r="D176" s="34" t="s">
        <v>533</v>
      </c>
      <c r="E176" s="26" t="s">
        <v>534</v>
      </c>
      <c r="F176" s="27">
        <v>2000.0</v>
      </c>
      <c r="G176" s="28"/>
    </row>
    <row r="177" ht="22.5" customHeight="1">
      <c r="A177" s="14" t="b">
        <v>1</v>
      </c>
      <c r="B177" s="15">
        <v>173.0</v>
      </c>
      <c r="C177" s="16" t="s">
        <v>535</v>
      </c>
      <c r="D177" s="32" t="s">
        <v>536</v>
      </c>
      <c r="E177" s="18" t="s">
        <v>537</v>
      </c>
      <c r="F177" s="16">
        <v>700.0</v>
      </c>
      <c r="G177" s="19"/>
    </row>
    <row r="178" ht="22.5" customHeight="1">
      <c r="A178" s="22" t="b">
        <v>1</v>
      </c>
      <c r="B178" s="23">
        <v>174.0</v>
      </c>
      <c r="C178" s="24" t="s">
        <v>538</v>
      </c>
      <c r="D178" s="34" t="s">
        <v>539</v>
      </c>
      <c r="E178" s="26" t="s">
        <v>540</v>
      </c>
      <c r="F178" s="27">
        <v>3500.0</v>
      </c>
      <c r="G178" s="28"/>
    </row>
    <row r="179" ht="22.5" customHeight="1">
      <c r="A179" s="14" t="b">
        <v>1</v>
      </c>
      <c r="B179" s="15">
        <v>175.0</v>
      </c>
      <c r="C179" s="16" t="s">
        <v>541</v>
      </c>
      <c r="D179" s="32" t="s">
        <v>542</v>
      </c>
      <c r="E179" s="18" t="s">
        <v>543</v>
      </c>
      <c r="F179" s="30">
        <v>1000.0</v>
      </c>
      <c r="G179" s="19"/>
    </row>
    <row r="180" ht="22.5" customHeight="1">
      <c r="A180" s="22" t="b">
        <v>1</v>
      </c>
      <c r="B180" s="23">
        <v>176.0</v>
      </c>
      <c r="C180" s="24" t="s">
        <v>544</v>
      </c>
      <c r="D180" s="34" t="s">
        <v>545</v>
      </c>
      <c r="E180" s="26" t="s">
        <v>546</v>
      </c>
      <c r="F180" s="27">
        <v>2200.0</v>
      </c>
      <c r="G180" s="28"/>
    </row>
    <row r="181" ht="22.5" customHeight="1">
      <c r="A181" s="14" t="b">
        <v>1</v>
      </c>
      <c r="B181" s="15">
        <v>177.0</v>
      </c>
      <c r="C181" s="16" t="s">
        <v>547</v>
      </c>
      <c r="D181" s="32" t="s">
        <v>548</v>
      </c>
      <c r="E181" s="18" t="s">
        <v>549</v>
      </c>
      <c r="F181" s="16">
        <v>400.0</v>
      </c>
      <c r="G181" s="19"/>
    </row>
    <row r="182" ht="22.5" customHeight="1">
      <c r="A182" s="22" t="b">
        <v>1</v>
      </c>
      <c r="B182" s="23">
        <v>178.0</v>
      </c>
      <c r="C182" s="24" t="s">
        <v>550</v>
      </c>
      <c r="D182" s="34" t="s">
        <v>551</v>
      </c>
      <c r="E182" s="26" t="s">
        <v>552</v>
      </c>
      <c r="F182" s="27">
        <v>1200.0</v>
      </c>
      <c r="G182" s="28"/>
    </row>
    <row r="183" ht="22.5" customHeight="1">
      <c r="A183" s="14" t="b">
        <v>1</v>
      </c>
      <c r="B183" s="15">
        <v>179.0</v>
      </c>
      <c r="C183" s="16" t="s">
        <v>553</v>
      </c>
      <c r="D183" s="32" t="s">
        <v>554</v>
      </c>
      <c r="E183" s="18" t="s">
        <v>555</v>
      </c>
      <c r="F183" s="30">
        <v>4000.0</v>
      </c>
      <c r="G183" s="19"/>
    </row>
    <row r="184" ht="22.5" customHeight="1">
      <c r="A184" s="22" t="b">
        <v>1</v>
      </c>
      <c r="B184" s="23">
        <v>180.0</v>
      </c>
      <c r="C184" s="24" t="s">
        <v>556</v>
      </c>
      <c r="D184" s="34" t="s">
        <v>557</v>
      </c>
      <c r="E184" s="26" t="s">
        <v>558</v>
      </c>
      <c r="F184" s="27">
        <v>1500.0</v>
      </c>
      <c r="G184" s="28"/>
    </row>
    <row r="185" ht="22.5" customHeight="1">
      <c r="A185" s="14" t="b">
        <v>1</v>
      </c>
      <c r="B185" s="15">
        <v>181.0</v>
      </c>
      <c r="C185" s="16" t="s">
        <v>559</v>
      </c>
      <c r="D185" s="32" t="s">
        <v>560</v>
      </c>
      <c r="E185" s="18" t="s">
        <v>561</v>
      </c>
      <c r="F185" s="30">
        <v>2500.0</v>
      </c>
      <c r="G185" s="19"/>
    </row>
    <row r="186" ht="22.5" customHeight="1">
      <c r="A186" s="22" t="b">
        <v>1</v>
      </c>
      <c r="B186" s="23">
        <v>182.0</v>
      </c>
      <c r="C186" s="24" t="s">
        <v>562</v>
      </c>
      <c r="D186" s="34" t="s">
        <v>563</v>
      </c>
      <c r="E186" s="26" t="s">
        <v>564</v>
      </c>
      <c r="F186" s="27">
        <v>5000.0</v>
      </c>
      <c r="G186" s="28"/>
    </row>
    <row r="187" ht="22.5" customHeight="1">
      <c r="A187" s="14" t="b">
        <v>1</v>
      </c>
      <c r="B187" s="15">
        <v>183.0</v>
      </c>
      <c r="C187" s="16" t="s">
        <v>565</v>
      </c>
      <c r="D187" s="32" t="s">
        <v>566</v>
      </c>
      <c r="E187" s="18" t="s">
        <v>567</v>
      </c>
      <c r="F187" s="16">
        <v>800.0</v>
      </c>
      <c r="G187" s="19"/>
    </row>
    <row r="188" ht="22.5" customHeight="1">
      <c r="A188" s="22" t="b">
        <v>1</v>
      </c>
      <c r="B188" s="23">
        <v>184.0</v>
      </c>
      <c r="C188" s="24" t="s">
        <v>568</v>
      </c>
      <c r="D188" s="34" t="s">
        <v>569</v>
      </c>
      <c r="E188" s="26" t="s">
        <v>570</v>
      </c>
      <c r="F188" s="27">
        <v>1000.0</v>
      </c>
      <c r="G188" s="28"/>
    </row>
    <row r="189" ht="22.5" customHeight="1">
      <c r="A189" s="14" t="b">
        <v>1</v>
      </c>
      <c r="B189" s="15">
        <v>185.0</v>
      </c>
      <c r="C189" s="16" t="s">
        <v>571</v>
      </c>
      <c r="D189" s="32" t="s">
        <v>572</v>
      </c>
      <c r="E189" s="18" t="s">
        <v>573</v>
      </c>
      <c r="F189" s="30">
        <v>3000.0</v>
      </c>
      <c r="G189" s="19"/>
    </row>
    <row r="190" ht="22.5" customHeight="1">
      <c r="A190" s="22" t="b">
        <v>1</v>
      </c>
      <c r="B190" s="23">
        <v>186.0</v>
      </c>
      <c r="C190" s="24" t="s">
        <v>574</v>
      </c>
      <c r="D190" s="34" t="s">
        <v>575</v>
      </c>
      <c r="E190" s="26" t="s">
        <v>576</v>
      </c>
      <c r="F190" s="27">
        <v>1200.0</v>
      </c>
      <c r="G190" s="28"/>
    </row>
    <row r="191" ht="22.5" customHeight="1">
      <c r="A191" s="14" t="b">
        <v>1</v>
      </c>
      <c r="B191" s="15">
        <v>187.0</v>
      </c>
      <c r="C191" s="16" t="s">
        <v>577</v>
      </c>
      <c r="D191" s="32" t="s">
        <v>578</v>
      </c>
      <c r="E191" s="18" t="s">
        <v>579</v>
      </c>
      <c r="F191" s="30">
        <v>2000.0</v>
      </c>
      <c r="G191" s="19"/>
    </row>
    <row r="192" ht="22.5" customHeight="1">
      <c r="A192" s="22" t="b">
        <v>1</v>
      </c>
      <c r="B192" s="23">
        <v>188.0</v>
      </c>
      <c r="C192" s="24" t="s">
        <v>580</v>
      </c>
      <c r="D192" s="34" t="s">
        <v>581</v>
      </c>
      <c r="E192" s="26" t="s">
        <v>582</v>
      </c>
      <c r="F192" s="24">
        <v>600.0</v>
      </c>
      <c r="G192" s="28"/>
    </row>
    <row r="193" ht="22.5" customHeight="1">
      <c r="A193" s="14" t="b">
        <v>1</v>
      </c>
      <c r="B193" s="15">
        <v>189.0</v>
      </c>
      <c r="C193" s="16" t="s">
        <v>583</v>
      </c>
      <c r="D193" s="32" t="s">
        <v>584</v>
      </c>
      <c r="E193" s="18" t="s">
        <v>585</v>
      </c>
      <c r="F193" s="30">
        <v>4500.0</v>
      </c>
      <c r="G193" s="19"/>
    </row>
    <row r="194" ht="22.5" customHeight="1">
      <c r="A194" s="22" t="b">
        <v>1</v>
      </c>
      <c r="B194" s="23">
        <v>190.0</v>
      </c>
      <c r="C194" s="24" t="s">
        <v>586</v>
      </c>
      <c r="D194" s="34" t="s">
        <v>587</v>
      </c>
      <c r="E194" s="26" t="s">
        <v>588</v>
      </c>
      <c r="F194" s="27">
        <v>1000.0</v>
      </c>
      <c r="G194" s="28"/>
    </row>
    <row r="195" ht="22.5" customHeight="1">
      <c r="A195" s="14" t="b">
        <v>1</v>
      </c>
      <c r="B195" s="15">
        <v>191.0</v>
      </c>
      <c r="C195" s="16" t="s">
        <v>589</v>
      </c>
      <c r="D195" s="32" t="s">
        <v>590</v>
      </c>
      <c r="E195" s="18" t="s">
        <v>591</v>
      </c>
      <c r="F195" s="30">
        <v>2500.0</v>
      </c>
      <c r="G195" s="19"/>
    </row>
    <row r="196" ht="22.5" customHeight="1">
      <c r="A196" s="22" t="b">
        <v>1</v>
      </c>
      <c r="B196" s="23">
        <v>192.0</v>
      </c>
      <c r="C196" s="24" t="s">
        <v>592</v>
      </c>
      <c r="D196" s="34" t="s">
        <v>593</v>
      </c>
      <c r="E196" s="26" t="s">
        <v>594</v>
      </c>
      <c r="F196" s="27">
        <v>5000.0</v>
      </c>
      <c r="G196" s="28"/>
    </row>
    <row r="197" ht="22.5" customHeight="1">
      <c r="A197" s="14" t="b">
        <v>1</v>
      </c>
      <c r="B197" s="15">
        <v>193.0</v>
      </c>
      <c r="C197" s="16" t="s">
        <v>595</v>
      </c>
      <c r="D197" s="32" t="s">
        <v>596</v>
      </c>
      <c r="E197" s="18" t="s">
        <v>597</v>
      </c>
      <c r="F197" s="30">
        <v>1500.0</v>
      </c>
      <c r="G197" s="19"/>
    </row>
    <row r="198" ht="22.5" customHeight="1">
      <c r="A198" s="22" t="b">
        <v>1</v>
      </c>
      <c r="B198" s="23">
        <v>194.0</v>
      </c>
      <c r="C198" s="24" t="s">
        <v>598</v>
      </c>
      <c r="D198" s="34" t="s">
        <v>599</v>
      </c>
      <c r="E198" s="26" t="s">
        <v>600</v>
      </c>
      <c r="F198" s="24">
        <v>700.0</v>
      </c>
      <c r="G198" s="28"/>
    </row>
    <row r="199" ht="22.5" customHeight="1">
      <c r="A199" s="14" t="b">
        <v>1</v>
      </c>
      <c r="B199" s="15">
        <v>195.0</v>
      </c>
      <c r="C199" s="16" t="s">
        <v>601</v>
      </c>
      <c r="D199" s="32" t="s">
        <v>602</v>
      </c>
      <c r="E199" s="18" t="s">
        <v>603</v>
      </c>
      <c r="F199" s="30">
        <v>3000.0</v>
      </c>
      <c r="G199" s="19"/>
    </row>
    <row r="200" ht="22.5" customHeight="1">
      <c r="A200" s="22" t="b">
        <v>1</v>
      </c>
      <c r="B200" s="23">
        <v>196.0</v>
      </c>
      <c r="C200" s="24" t="s">
        <v>604</v>
      </c>
      <c r="D200" s="34" t="s">
        <v>605</v>
      </c>
      <c r="E200" s="26" t="s">
        <v>606</v>
      </c>
      <c r="F200" s="27">
        <v>1200.0</v>
      </c>
      <c r="G200" s="28"/>
    </row>
    <row r="201" ht="22.5" customHeight="1">
      <c r="A201" s="14" t="b">
        <v>1</v>
      </c>
      <c r="B201" s="15">
        <v>197.0</v>
      </c>
      <c r="C201" s="16" t="s">
        <v>607</v>
      </c>
      <c r="D201" s="32" t="s">
        <v>608</v>
      </c>
      <c r="E201" s="18" t="s">
        <v>609</v>
      </c>
      <c r="F201" s="30">
        <v>2000.0</v>
      </c>
      <c r="G201" s="19"/>
    </row>
    <row r="202" ht="22.5" customHeight="1">
      <c r="A202" s="22" t="b">
        <v>1</v>
      </c>
      <c r="B202" s="23">
        <v>198.0</v>
      </c>
      <c r="C202" s="24" t="s">
        <v>610</v>
      </c>
      <c r="D202" s="34" t="s">
        <v>611</v>
      </c>
      <c r="E202" s="26" t="s">
        <v>612</v>
      </c>
      <c r="F202" s="24">
        <v>900.0</v>
      </c>
      <c r="G202" s="28"/>
    </row>
    <row r="203" ht="22.5" customHeight="1">
      <c r="A203" s="14" t="b">
        <v>1</v>
      </c>
      <c r="B203" s="15">
        <v>199.0</v>
      </c>
      <c r="C203" s="16" t="s">
        <v>613</v>
      </c>
      <c r="D203" s="32" t="s">
        <v>614</v>
      </c>
      <c r="E203" s="18" t="s">
        <v>615</v>
      </c>
      <c r="F203" s="30">
        <v>4000.0</v>
      </c>
      <c r="G203" s="19"/>
    </row>
    <row r="204" ht="22.5" customHeight="1">
      <c r="A204" s="22" t="b">
        <v>1</v>
      </c>
      <c r="B204" s="23">
        <v>200.0</v>
      </c>
      <c r="C204" s="24" t="s">
        <v>616</v>
      </c>
      <c r="D204" s="34" t="s">
        <v>617</v>
      </c>
      <c r="E204" s="26" t="s">
        <v>618</v>
      </c>
      <c r="F204" s="24">
        <v>500.0</v>
      </c>
      <c r="G204" s="28"/>
    </row>
  </sheetData>
  <autoFilter ref="$A$4:$G$145"/>
  <mergeCells count="3">
    <mergeCell ref="A1:J1"/>
    <mergeCell ref="A2:D2"/>
    <mergeCell ref="E2:F2"/>
  </mergeCells>
  <conditionalFormatting sqref="A4:H204 I52:M52">
    <cfRule type="cellIs" dxfId="0" priority="1" operator="equal">
      <formula>"TRUE"</formula>
    </cfRule>
  </conditionalFormatting>
  <conditionalFormatting sqref="A4:H204 I52:M52">
    <cfRule type="cellIs" dxfId="1" priority="2" operator="equal">
      <formula>"FALSE"</formula>
    </cfRule>
  </conditionalFormatting>
  <dataValidations>
    <dataValidation allowBlank="1" showDropDown="1" sqref="E5:E204"/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08"/>
    <hyperlink r:id="rId105" ref="D109"/>
    <hyperlink r:id="rId106" ref="D110"/>
    <hyperlink r:id="rId107" ref="D111"/>
    <hyperlink r:id="rId108" ref="D112"/>
    <hyperlink r:id="rId109" ref="D113"/>
    <hyperlink r:id="rId110" ref="D114"/>
    <hyperlink r:id="rId111" ref="D115"/>
    <hyperlink r:id="rId112" ref="D116"/>
    <hyperlink r:id="rId113" ref="D117"/>
    <hyperlink r:id="rId114" ref="D118"/>
    <hyperlink r:id="rId115" ref="D119"/>
    <hyperlink r:id="rId116" ref="D120"/>
    <hyperlink r:id="rId117" ref="D121"/>
    <hyperlink r:id="rId118" ref="D122"/>
    <hyperlink r:id="rId119" ref="D123"/>
    <hyperlink r:id="rId120" ref="D124"/>
    <hyperlink r:id="rId121" ref="D125"/>
    <hyperlink r:id="rId122" ref="D126"/>
    <hyperlink r:id="rId123" ref="D127"/>
    <hyperlink r:id="rId124" ref="D128"/>
    <hyperlink r:id="rId125" ref="D129"/>
    <hyperlink r:id="rId126" ref="D130"/>
    <hyperlink r:id="rId127" ref="D131"/>
    <hyperlink r:id="rId128" ref="D132"/>
    <hyperlink r:id="rId129" ref="D133"/>
    <hyperlink r:id="rId130" ref="D134"/>
    <hyperlink r:id="rId131" ref="D135"/>
    <hyperlink r:id="rId132" ref="D136"/>
    <hyperlink r:id="rId133" ref="D137"/>
    <hyperlink r:id="rId134" ref="D138"/>
    <hyperlink r:id="rId135" ref="D139"/>
    <hyperlink r:id="rId136" ref="D140"/>
    <hyperlink r:id="rId137" ref="D141"/>
    <hyperlink r:id="rId138" ref="D142"/>
    <hyperlink r:id="rId139" ref="D143"/>
    <hyperlink r:id="rId140" ref="D144"/>
    <hyperlink r:id="rId141" ref="D145"/>
    <hyperlink r:id="rId142" ref="D146"/>
    <hyperlink r:id="rId143" ref="D147"/>
    <hyperlink r:id="rId144" ref="D148"/>
    <hyperlink r:id="rId145" ref="D149"/>
    <hyperlink r:id="rId146" ref="D150"/>
    <hyperlink r:id="rId147" ref="D151"/>
    <hyperlink r:id="rId148" ref="D152"/>
    <hyperlink r:id="rId149" ref="D153"/>
    <hyperlink r:id="rId150" ref="D154"/>
    <hyperlink r:id="rId151" ref="D155"/>
    <hyperlink r:id="rId152" ref="D156"/>
    <hyperlink r:id="rId153" ref="D157"/>
    <hyperlink r:id="rId154" ref="D158"/>
    <hyperlink r:id="rId155" ref="D159"/>
    <hyperlink r:id="rId156" ref="D160"/>
    <hyperlink r:id="rId157" ref="D161"/>
    <hyperlink r:id="rId158" ref="D162"/>
    <hyperlink r:id="rId159" ref="D163"/>
    <hyperlink r:id="rId160" ref="D164"/>
    <hyperlink r:id="rId161" ref="D165"/>
    <hyperlink r:id="rId162" ref="D166"/>
    <hyperlink r:id="rId163" ref="D167"/>
    <hyperlink r:id="rId164" ref="D168"/>
    <hyperlink r:id="rId165" ref="D169"/>
    <hyperlink r:id="rId166" ref="D170"/>
    <hyperlink r:id="rId167" ref="D171"/>
    <hyperlink r:id="rId168" ref="D172"/>
    <hyperlink r:id="rId169" ref="D173"/>
    <hyperlink r:id="rId170" ref="D174"/>
    <hyperlink r:id="rId171" ref="D175"/>
    <hyperlink r:id="rId172" ref="D176"/>
    <hyperlink r:id="rId173" ref="D177"/>
    <hyperlink r:id="rId174" ref="D178"/>
    <hyperlink r:id="rId175" ref="D179"/>
    <hyperlink r:id="rId176" ref="D180"/>
    <hyperlink r:id="rId177" ref="D181"/>
    <hyperlink r:id="rId178" ref="D182"/>
    <hyperlink r:id="rId179" ref="D183"/>
    <hyperlink r:id="rId180" ref="D184"/>
    <hyperlink r:id="rId181" ref="D185"/>
    <hyperlink r:id="rId182" ref="D186"/>
    <hyperlink r:id="rId183" ref="D187"/>
    <hyperlink r:id="rId184" ref="D188"/>
    <hyperlink r:id="rId185" ref="D189"/>
    <hyperlink r:id="rId186" ref="D190"/>
    <hyperlink r:id="rId187" ref="D191"/>
    <hyperlink r:id="rId188" ref="D192"/>
    <hyperlink r:id="rId189" ref="D193"/>
    <hyperlink r:id="rId190" ref="D194"/>
    <hyperlink r:id="rId191" ref="D195"/>
    <hyperlink r:id="rId192" ref="D196"/>
    <hyperlink r:id="rId193" ref="D197"/>
    <hyperlink r:id="rId194" ref="D198"/>
    <hyperlink r:id="rId195" ref="D199"/>
    <hyperlink r:id="rId196" ref="D200"/>
    <hyperlink r:id="rId197" ref="D201"/>
    <hyperlink r:id="rId198" ref="D202"/>
    <hyperlink r:id="rId199" ref="D203"/>
    <hyperlink r:id="rId200" ref="D204"/>
  </hyperlinks>
  <drawing r:id="rId201"/>
  <tableParts count="3">
    <tablePart r:id="rId205"/>
    <tablePart r:id="rId206"/>
    <tablePart r:id="rId20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13.5"/>
    <col customWidth="1" min="3" max="3" width="13.38"/>
    <col customWidth="1" min="4" max="4" width="9.63"/>
    <col customWidth="1" min="5" max="5" width="28.38"/>
    <col customWidth="1" min="6" max="6" width="28.5"/>
    <col customWidth="1" min="7" max="7" width="15.63"/>
    <col customWidth="1" min="8" max="8" width="8.0"/>
    <col customWidth="1" min="9" max="9" width="39.0"/>
    <col customWidth="1" min="10" max="10" width="16.63"/>
    <col customWidth="1" min="11" max="11" width="5.0"/>
    <col customWidth="1" min="12" max="12" width="18.38"/>
    <col customWidth="1" min="13" max="13" width="12.63"/>
  </cols>
  <sheetData>
    <row r="1">
      <c r="A1" s="1" t="s">
        <v>666</v>
      </c>
      <c r="K1" s="2"/>
      <c r="L1" s="2"/>
      <c r="M1" s="2"/>
    </row>
    <row r="2">
      <c r="A2" s="3" t="str">
        <f>CONCATENATE(COUNTIF($A$5:$A$260,TRUE), "/", COUNTA(C5:C2060), " Charity  Collected")</f>
        <v>140/200 Charity  Collected</v>
      </c>
      <c r="E2" s="4" t="s">
        <v>1</v>
      </c>
      <c r="G2" s="5">
        <f>SUMIF(A:A,True,F:F)</f>
        <v>278600</v>
      </c>
      <c r="H2" s="5"/>
      <c r="I2" s="6" t="s">
        <v>2</v>
      </c>
      <c r="J2" s="5">
        <f>Income_Sheet_7[[#TOTALS],[Amount]]-Expense_Sheet_7[[#TOTALS],[Amount]]</f>
        <v>123785</v>
      </c>
      <c r="K2" s="5"/>
      <c r="L2" s="5"/>
      <c r="M2" s="2"/>
    </row>
    <row r="3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</row>
    <row r="4" ht="22.5" customHeight="1">
      <c r="A4" s="9" t="s">
        <v>3</v>
      </c>
      <c r="B4" s="9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0" t="s">
        <v>9</v>
      </c>
      <c r="I4" s="12" t="s">
        <v>10</v>
      </c>
      <c r="J4" s="12" t="s">
        <v>8</v>
      </c>
      <c r="L4" s="12" t="s">
        <v>11</v>
      </c>
      <c r="M4" s="13" t="s">
        <v>8</v>
      </c>
    </row>
    <row r="5" ht="22.5" customHeight="1">
      <c r="A5" s="14" t="b">
        <v>1</v>
      </c>
      <c r="B5" s="15">
        <v>1.0</v>
      </c>
      <c r="C5" s="16" t="s">
        <v>12</v>
      </c>
      <c r="D5" s="17" t="s">
        <v>13</v>
      </c>
      <c r="E5" s="18" t="s">
        <v>14</v>
      </c>
      <c r="F5" s="16">
        <v>500.0</v>
      </c>
      <c r="G5" s="19"/>
      <c r="I5" s="20" t="s">
        <v>15</v>
      </c>
      <c r="J5" s="21">
        <v>50000.0</v>
      </c>
      <c r="L5" s="20" t="s">
        <v>16</v>
      </c>
      <c r="M5" s="21">
        <f>G2</f>
        <v>278600</v>
      </c>
    </row>
    <row r="6" ht="22.5" customHeight="1">
      <c r="A6" s="22" t="b">
        <v>1</v>
      </c>
      <c r="B6" s="23">
        <v>2.0</v>
      </c>
      <c r="C6" s="24" t="s">
        <v>17</v>
      </c>
      <c r="D6" s="25" t="s">
        <v>18</v>
      </c>
      <c r="E6" s="26" t="s">
        <v>19</v>
      </c>
      <c r="F6" s="27">
        <v>1000.0</v>
      </c>
      <c r="G6" s="28"/>
      <c r="I6" s="29" t="s">
        <v>20</v>
      </c>
      <c r="J6" s="21">
        <f>100000</f>
        <v>100000</v>
      </c>
      <c r="L6" s="20" t="s">
        <v>21</v>
      </c>
      <c r="M6" s="21">
        <v>20185.0</v>
      </c>
    </row>
    <row r="7" ht="22.5" customHeight="1">
      <c r="A7" s="14" t="b">
        <v>0</v>
      </c>
      <c r="B7" s="15">
        <v>3.0</v>
      </c>
      <c r="C7" s="16" t="s">
        <v>22</v>
      </c>
      <c r="D7" s="17" t="s">
        <v>23</v>
      </c>
      <c r="E7" s="18" t="s">
        <v>24</v>
      </c>
      <c r="F7" s="30">
        <v>2000.0</v>
      </c>
      <c r="G7" s="19"/>
      <c r="I7" s="29" t="s">
        <v>25</v>
      </c>
      <c r="J7" s="21">
        <v>25000.0</v>
      </c>
    </row>
    <row r="8" ht="22.5" customHeight="1">
      <c r="A8" s="22" t="b">
        <v>1</v>
      </c>
      <c r="B8" s="23">
        <v>4.0</v>
      </c>
      <c r="C8" s="24" t="s">
        <v>26</v>
      </c>
      <c r="D8" s="25" t="s">
        <v>27</v>
      </c>
      <c r="E8" s="26" t="s">
        <v>28</v>
      </c>
      <c r="F8" s="27">
        <v>5000.0</v>
      </c>
      <c r="G8" s="28"/>
      <c r="L8" s="31"/>
      <c r="M8" s="21"/>
    </row>
    <row r="9" ht="22.5" customHeight="1">
      <c r="A9" s="14" t="b">
        <v>1</v>
      </c>
      <c r="B9" s="15">
        <v>5.0</v>
      </c>
      <c r="C9" s="16" t="s">
        <v>29</v>
      </c>
      <c r="D9" s="32" t="s">
        <v>30</v>
      </c>
      <c r="E9" s="18" t="s">
        <v>31</v>
      </c>
      <c r="F9" s="16">
        <v>300.0</v>
      </c>
      <c r="G9" s="19"/>
      <c r="I9" s="33"/>
      <c r="J9" s="21"/>
      <c r="L9" s="31"/>
      <c r="M9" s="21"/>
    </row>
    <row r="10" ht="22.5" customHeight="1">
      <c r="A10" s="22" t="b">
        <v>1</v>
      </c>
      <c r="B10" s="23">
        <v>6.0</v>
      </c>
      <c r="C10" s="24" t="s">
        <v>32</v>
      </c>
      <c r="D10" s="34" t="s">
        <v>33</v>
      </c>
      <c r="E10" s="26" t="s">
        <v>34</v>
      </c>
      <c r="F10" s="27">
        <v>1500.0</v>
      </c>
      <c r="G10" s="28"/>
      <c r="I10" s="33"/>
      <c r="J10" s="21"/>
      <c r="L10" s="31"/>
      <c r="M10" s="21"/>
    </row>
    <row r="11" ht="22.5" customHeight="1">
      <c r="A11" s="14" t="b">
        <v>1</v>
      </c>
      <c r="B11" s="15">
        <v>7.0</v>
      </c>
      <c r="C11" s="16" t="s">
        <v>35</v>
      </c>
      <c r="D11" s="32" t="s">
        <v>36</v>
      </c>
      <c r="E11" s="18" t="s">
        <v>37</v>
      </c>
      <c r="F11" s="30">
        <v>2500.0</v>
      </c>
      <c r="G11" s="35"/>
      <c r="I11" s="29"/>
      <c r="J11" s="21"/>
      <c r="L11" s="31"/>
      <c r="M11" s="21"/>
    </row>
    <row r="12" ht="22.5" customHeight="1">
      <c r="A12" s="22" t="b">
        <v>1</v>
      </c>
      <c r="B12" s="23">
        <v>8.0</v>
      </c>
      <c r="C12" s="24" t="s">
        <v>38</v>
      </c>
      <c r="D12" s="34" t="s">
        <v>39</v>
      </c>
      <c r="E12" s="26" t="s">
        <v>40</v>
      </c>
      <c r="F12" s="24">
        <v>200.0</v>
      </c>
      <c r="G12" s="28"/>
      <c r="I12" s="29"/>
      <c r="J12" s="21"/>
      <c r="L12" s="31"/>
      <c r="M12" s="21" t="str">
        <f t="shared" ref="M12:M13" si="1">G9</f>
        <v/>
      </c>
    </row>
    <row r="13" ht="22.5" customHeight="1">
      <c r="A13" s="14" t="b">
        <v>1</v>
      </c>
      <c r="B13" s="15">
        <v>9.0</v>
      </c>
      <c r="C13" s="16" t="s">
        <v>41</v>
      </c>
      <c r="D13" s="32" t="s">
        <v>42</v>
      </c>
      <c r="E13" s="18" t="s">
        <v>43</v>
      </c>
      <c r="F13" s="30">
        <v>1000.0</v>
      </c>
      <c r="G13" s="19"/>
      <c r="I13" s="29"/>
      <c r="J13" s="21"/>
      <c r="L13" s="31"/>
      <c r="M13" s="21" t="str">
        <f t="shared" si="1"/>
        <v/>
      </c>
    </row>
    <row r="14" ht="22.5" customHeight="1">
      <c r="A14" s="22" t="b">
        <v>1</v>
      </c>
      <c r="B14" s="23">
        <v>10.0</v>
      </c>
      <c r="C14" s="24" t="s">
        <v>44</v>
      </c>
      <c r="D14" s="34" t="s">
        <v>45</v>
      </c>
      <c r="E14" s="26" t="s">
        <v>46</v>
      </c>
      <c r="F14" s="27">
        <v>3000.0</v>
      </c>
      <c r="G14" s="28"/>
      <c r="I14" s="36" t="s">
        <v>47</v>
      </c>
      <c r="J14" s="37">
        <f>Sum(Expense_Sheet_7[Amount])</f>
        <v>175000</v>
      </c>
      <c r="L14" s="31"/>
      <c r="M14" s="21"/>
    </row>
    <row r="15" ht="26.25" customHeight="1">
      <c r="A15" s="14" t="b">
        <v>1</v>
      </c>
      <c r="B15" s="15">
        <v>11.0</v>
      </c>
      <c r="C15" s="16" t="s">
        <v>48</v>
      </c>
      <c r="D15" s="32" t="s">
        <v>49</v>
      </c>
      <c r="E15" s="18" t="s">
        <v>50</v>
      </c>
      <c r="F15" s="16">
        <v>700.0</v>
      </c>
      <c r="G15" s="19"/>
      <c r="L15" s="36" t="s">
        <v>47</v>
      </c>
      <c r="M15" s="37">
        <f>Sum(Income_Sheet_7[Amount])</f>
        <v>298785</v>
      </c>
    </row>
    <row r="16" ht="26.25" customHeight="1">
      <c r="A16" s="22" t="b">
        <v>0</v>
      </c>
      <c r="B16" s="23">
        <v>12.0</v>
      </c>
      <c r="C16" s="24" t="s">
        <v>51</v>
      </c>
      <c r="D16" s="34" t="s">
        <v>52</v>
      </c>
      <c r="E16" s="26" t="s">
        <v>53</v>
      </c>
      <c r="F16" s="27">
        <v>2000.0</v>
      </c>
      <c r="G16" s="28"/>
    </row>
    <row r="17" ht="26.25" customHeight="1">
      <c r="A17" s="14" t="b">
        <v>1</v>
      </c>
      <c r="B17" s="15">
        <v>13.0</v>
      </c>
      <c r="C17" s="16" t="s">
        <v>54</v>
      </c>
      <c r="D17" s="32" t="s">
        <v>55</v>
      </c>
      <c r="E17" s="18" t="s">
        <v>56</v>
      </c>
      <c r="F17" s="30">
        <v>5000.0</v>
      </c>
      <c r="G17" s="19"/>
    </row>
    <row r="18" ht="26.25" customHeight="1">
      <c r="A18" s="22" t="b">
        <v>1</v>
      </c>
      <c r="B18" s="23">
        <v>14.0</v>
      </c>
      <c r="C18" s="24" t="s">
        <v>57</v>
      </c>
      <c r="D18" s="34" t="s">
        <v>58</v>
      </c>
      <c r="E18" s="26" t="s">
        <v>59</v>
      </c>
      <c r="F18" s="24">
        <v>400.0</v>
      </c>
      <c r="G18" s="28"/>
      <c r="I18" s="38" t="s">
        <v>60</v>
      </c>
      <c r="L18" s="39"/>
      <c r="M18" s="40"/>
    </row>
    <row r="19" ht="26.25" customHeight="1">
      <c r="A19" s="14" t="b">
        <v>1</v>
      </c>
      <c r="B19" s="15">
        <v>15.0</v>
      </c>
      <c r="C19" s="16" t="s">
        <v>61</v>
      </c>
      <c r="D19" s="32" t="s">
        <v>62</v>
      </c>
      <c r="E19" s="18" t="s">
        <v>63</v>
      </c>
      <c r="F19" s="30">
        <v>1200.0</v>
      </c>
      <c r="G19" s="19"/>
    </row>
    <row r="20" ht="26.25" customHeight="1">
      <c r="A20" s="22" t="b">
        <v>1</v>
      </c>
      <c r="B20" s="23">
        <v>16.0</v>
      </c>
      <c r="C20" s="24" t="s">
        <v>64</v>
      </c>
      <c r="D20" s="34" t="s">
        <v>65</v>
      </c>
      <c r="E20" s="26" t="s">
        <v>66</v>
      </c>
      <c r="F20" s="27">
        <v>2500.0</v>
      </c>
      <c r="G20" s="28"/>
    </row>
    <row r="21" ht="26.25" customHeight="1">
      <c r="A21" s="14" t="b">
        <v>1</v>
      </c>
      <c r="B21" s="15">
        <v>17.0</v>
      </c>
      <c r="C21" s="16" t="s">
        <v>67</v>
      </c>
      <c r="D21" s="32" t="s">
        <v>68</v>
      </c>
      <c r="E21" s="18" t="s">
        <v>69</v>
      </c>
      <c r="F21" s="30">
        <v>1000.0</v>
      </c>
      <c r="G21" s="35"/>
    </row>
    <row r="22" ht="26.25" customHeight="1">
      <c r="A22" s="22" t="b">
        <v>1</v>
      </c>
      <c r="B22" s="23">
        <v>18.0</v>
      </c>
      <c r="C22" s="24" t="s">
        <v>70</v>
      </c>
      <c r="D22" s="34" t="s">
        <v>71</v>
      </c>
      <c r="E22" s="26" t="s">
        <v>72</v>
      </c>
      <c r="F22" s="24">
        <v>800.0</v>
      </c>
      <c r="G22" s="28"/>
    </row>
    <row r="23" ht="26.25" customHeight="1">
      <c r="A23" s="14" t="b">
        <v>1</v>
      </c>
      <c r="B23" s="15">
        <v>19.0</v>
      </c>
      <c r="C23" s="16" t="s">
        <v>73</v>
      </c>
      <c r="D23" s="32" t="s">
        <v>74</v>
      </c>
      <c r="E23" s="18" t="s">
        <v>75</v>
      </c>
      <c r="F23" s="30">
        <v>3500.0</v>
      </c>
      <c r="G23" s="19"/>
    </row>
    <row r="24" ht="26.25" customHeight="1">
      <c r="A24" s="22" t="b">
        <v>1</v>
      </c>
      <c r="B24" s="23">
        <v>20.0</v>
      </c>
      <c r="C24" s="24" t="s">
        <v>76</v>
      </c>
      <c r="D24" s="34" t="s">
        <v>77</v>
      </c>
      <c r="E24" s="26" t="s">
        <v>78</v>
      </c>
      <c r="F24" s="24">
        <v>100.0</v>
      </c>
      <c r="G24" s="28"/>
    </row>
    <row r="25" ht="26.25" customHeight="1">
      <c r="A25" s="14" t="b">
        <v>1</v>
      </c>
      <c r="B25" s="15">
        <v>21.0</v>
      </c>
      <c r="C25" s="16" t="s">
        <v>79</v>
      </c>
      <c r="D25" s="32" t="s">
        <v>80</v>
      </c>
      <c r="E25" s="18" t="s">
        <v>81</v>
      </c>
      <c r="F25" s="30">
        <v>1500.0</v>
      </c>
      <c r="G25" s="19"/>
    </row>
    <row r="26" ht="26.25" customHeight="1">
      <c r="A26" s="22" t="b">
        <v>1</v>
      </c>
      <c r="B26" s="23">
        <v>22.0</v>
      </c>
      <c r="C26" s="24" t="s">
        <v>82</v>
      </c>
      <c r="D26" s="34" t="s">
        <v>83</v>
      </c>
      <c r="E26" s="26" t="s">
        <v>84</v>
      </c>
      <c r="F26" s="27">
        <v>2000.0</v>
      </c>
      <c r="G26" s="28"/>
    </row>
    <row r="27" ht="26.25" customHeight="1">
      <c r="A27" s="14" t="b">
        <v>1</v>
      </c>
      <c r="B27" s="15">
        <v>23.0</v>
      </c>
      <c r="C27" s="16" t="s">
        <v>85</v>
      </c>
      <c r="D27" s="32" t="s">
        <v>86</v>
      </c>
      <c r="E27" s="18" t="s">
        <v>87</v>
      </c>
      <c r="F27" s="30">
        <v>5000.0</v>
      </c>
      <c r="G27" s="19"/>
    </row>
    <row r="28" ht="26.25" customHeight="1">
      <c r="A28" s="22" t="b">
        <v>1</v>
      </c>
      <c r="B28" s="23">
        <v>24.0</v>
      </c>
      <c r="C28" s="24" t="s">
        <v>88</v>
      </c>
      <c r="D28" s="34" t="s">
        <v>89</v>
      </c>
      <c r="E28" s="26" t="s">
        <v>90</v>
      </c>
      <c r="F28" s="24">
        <v>600.0</v>
      </c>
      <c r="G28" s="28"/>
    </row>
    <row r="29" ht="26.25" customHeight="1">
      <c r="A29" s="14" t="b">
        <v>0</v>
      </c>
      <c r="B29" s="15">
        <v>25.0</v>
      </c>
      <c r="C29" s="16" t="s">
        <v>91</v>
      </c>
      <c r="D29" s="32" t="s">
        <v>92</v>
      </c>
      <c r="E29" s="18" t="s">
        <v>93</v>
      </c>
      <c r="F29" s="30">
        <v>1000.0</v>
      </c>
      <c r="G29" s="19"/>
    </row>
    <row r="30" ht="26.25" customHeight="1">
      <c r="A30" s="22" t="b">
        <v>1</v>
      </c>
      <c r="B30" s="23">
        <v>26.0</v>
      </c>
      <c r="C30" s="24" t="s">
        <v>94</v>
      </c>
      <c r="D30" s="34" t="s">
        <v>95</v>
      </c>
      <c r="E30" s="26" t="s">
        <v>96</v>
      </c>
      <c r="F30" s="27">
        <v>2200.0</v>
      </c>
      <c r="G30" s="28"/>
    </row>
    <row r="31" ht="26.25" customHeight="1">
      <c r="A31" s="14" t="b">
        <v>1</v>
      </c>
      <c r="B31" s="15">
        <v>27.0</v>
      </c>
      <c r="C31" s="15" t="s">
        <v>97</v>
      </c>
      <c r="D31" s="32" t="s">
        <v>98</v>
      </c>
      <c r="E31" s="18" t="s">
        <v>99</v>
      </c>
      <c r="F31" s="30">
        <v>1500.0</v>
      </c>
      <c r="G31" s="35"/>
    </row>
    <row r="32" ht="26.25" customHeight="1">
      <c r="A32" s="22" t="b">
        <v>0</v>
      </c>
      <c r="B32" s="23">
        <v>28.0</v>
      </c>
      <c r="C32" s="24" t="s">
        <v>100</v>
      </c>
      <c r="D32" s="34" t="s">
        <v>101</v>
      </c>
      <c r="E32" s="26" t="s">
        <v>102</v>
      </c>
      <c r="F32" s="24">
        <v>900.0</v>
      </c>
      <c r="G32" s="28"/>
    </row>
    <row r="33" ht="26.25" customHeight="1">
      <c r="A33" s="14" t="b">
        <v>1</v>
      </c>
      <c r="B33" s="15">
        <v>29.0</v>
      </c>
      <c r="C33" s="16" t="s">
        <v>103</v>
      </c>
      <c r="D33" s="32" t="s">
        <v>104</v>
      </c>
      <c r="E33" s="18" t="s">
        <v>105</v>
      </c>
      <c r="F33" s="30">
        <v>4000.0</v>
      </c>
      <c r="G33" s="35"/>
    </row>
    <row r="34" ht="26.25" customHeight="1">
      <c r="A34" s="22" t="b">
        <v>0</v>
      </c>
      <c r="B34" s="23">
        <v>30.0</v>
      </c>
      <c r="C34" s="24" t="s">
        <v>106</v>
      </c>
      <c r="D34" s="34" t="s">
        <v>107</v>
      </c>
      <c r="E34" s="26" t="s">
        <v>108</v>
      </c>
      <c r="F34" s="27">
        <v>1000.0</v>
      </c>
      <c r="G34" s="28"/>
    </row>
    <row r="35" ht="26.25" customHeight="1">
      <c r="A35" s="14" t="b">
        <v>1</v>
      </c>
      <c r="B35" s="15">
        <v>31.0</v>
      </c>
      <c r="C35" s="16" t="s">
        <v>109</v>
      </c>
      <c r="D35" s="32" t="s">
        <v>110</v>
      </c>
      <c r="E35" s="18" t="s">
        <v>111</v>
      </c>
      <c r="F35" s="30">
        <v>2500.0</v>
      </c>
      <c r="G35" s="19"/>
    </row>
    <row r="36" ht="26.25" customHeight="1">
      <c r="A36" s="22" t="b">
        <v>1</v>
      </c>
      <c r="B36" s="23">
        <v>32.0</v>
      </c>
      <c r="C36" s="24" t="s">
        <v>112</v>
      </c>
      <c r="D36" s="34" t="s">
        <v>113</v>
      </c>
      <c r="E36" s="26" t="s">
        <v>114</v>
      </c>
      <c r="F36" s="27">
        <v>5000.0</v>
      </c>
      <c r="G36" s="28"/>
    </row>
    <row r="37" ht="26.25" customHeight="1">
      <c r="A37" s="14" t="b">
        <v>1</v>
      </c>
      <c r="B37" s="15">
        <v>33.0</v>
      </c>
      <c r="C37" s="16" t="s">
        <v>115</v>
      </c>
      <c r="D37" s="32" t="s">
        <v>116</v>
      </c>
      <c r="E37" s="18" t="s">
        <v>117</v>
      </c>
      <c r="F37" s="16">
        <v>500.0</v>
      </c>
      <c r="G37" s="19"/>
    </row>
    <row r="38" ht="26.25" customHeight="1">
      <c r="A38" s="22" t="b">
        <v>1</v>
      </c>
      <c r="B38" s="23">
        <v>34.0</v>
      </c>
      <c r="C38" s="24" t="s">
        <v>118</v>
      </c>
      <c r="D38" s="34" t="s">
        <v>119</v>
      </c>
      <c r="E38" s="26" t="s">
        <v>120</v>
      </c>
      <c r="F38" s="27">
        <v>1200.0</v>
      </c>
      <c r="G38" s="28"/>
    </row>
    <row r="39" ht="26.25" customHeight="1">
      <c r="A39" s="14" t="b">
        <v>1</v>
      </c>
      <c r="B39" s="15">
        <v>35.0</v>
      </c>
      <c r="C39" s="16" t="s">
        <v>121</v>
      </c>
      <c r="D39" s="32" t="s">
        <v>122</v>
      </c>
      <c r="E39" s="18" t="s">
        <v>123</v>
      </c>
      <c r="F39" s="30">
        <v>3000.0</v>
      </c>
      <c r="G39" s="19"/>
    </row>
    <row r="40" ht="26.25" customHeight="1">
      <c r="A40" s="22" t="b">
        <v>1</v>
      </c>
      <c r="B40" s="23">
        <v>36.0</v>
      </c>
      <c r="C40" s="24" t="s">
        <v>124</v>
      </c>
      <c r="D40" s="34" t="s">
        <v>125</v>
      </c>
      <c r="E40" s="26" t="s">
        <v>126</v>
      </c>
      <c r="F40" s="24">
        <v>200.0</v>
      </c>
      <c r="G40" s="41"/>
    </row>
    <row r="41" ht="26.25" customHeight="1">
      <c r="A41" s="14" t="b">
        <v>1</v>
      </c>
      <c r="B41" s="15">
        <v>37.0</v>
      </c>
      <c r="C41" s="16" t="s">
        <v>127</v>
      </c>
      <c r="D41" s="32" t="s">
        <v>128</v>
      </c>
      <c r="E41" s="18" t="s">
        <v>129</v>
      </c>
      <c r="F41" s="30">
        <v>1000.0</v>
      </c>
      <c r="G41" s="19"/>
    </row>
    <row r="42" ht="26.25" customHeight="1">
      <c r="A42" s="22" t="b">
        <v>0</v>
      </c>
      <c r="B42" s="23">
        <v>38.0</v>
      </c>
      <c r="C42" s="24" t="s">
        <v>130</v>
      </c>
      <c r="D42" s="34" t="s">
        <v>131</v>
      </c>
      <c r="E42" s="26" t="s">
        <v>132</v>
      </c>
      <c r="F42" s="27">
        <v>2000.0</v>
      </c>
      <c r="G42" s="28"/>
    </row>
    <row r="43" ht="26.25" customHeight="1">
      <c r="A43" s="14" t="b">
        <v>1</v>
      </c>
      <c r="B43" s="15">
        <v>39.0</v>
      </c>
      <c r="C43" s="16" t="s">
        <v>133</v>
      </c>
      <c r="D43" s="32" t="s">
        <v>134</v>
      </c>
      <c r="E43" s="18" t="s">
        <v>135</v>
      </c>
      <c r="F43" s="30">
        <v>1800.0</v>
      </c>
      <c r="G43" s="19"/>
    </row>
    <row r="44" ht="26.25" customHeight="1">
      <c r="A44" s="22" t="b">
        <v>1</v>
      </c>
      <c r="B44" s="23">
        <v>40.0</v>
      </c>
      <c r="C44" s="24" t="s">
        <v>136</v>
      </c>
      <c r="D44" s="34" t="s">
        <v>137</v>
      </c>
      <c r="E44" s="26" t="s">
        <v>138</v>
      </c>
      <c r="F44" s="24">
        <v>700.0</v>
      </c>
      <c r="G44" s="41"/>
    </row>
    <row r="45" ht="26.25" customHeight="1">
      <c r="A45" s="14" t="b">
        <v>1</v>
      </c>
      <c r="B45" s="15">
        <v>41.0</v>
      </c>
      <c r="C45" s="16" t="s">
        <v>139</v>
      </c>
      <c r="D45" s="32" t="s">
        <v>140</v>
      </c>
      <c r="E45" s="18" t="s">
        <v>141</v>
      </c>
      <c r="F45" s="30">
        <v>4500.0</v>
      </c>
      <c r="G45" s="19"/>
    </row>
    <row r="46" ht="26.25" customHeight="1">
      <c r="A46" s="22" t="b">
        <v>1</v>
      </c>
      <c r="B46" s="23">
        <v>42.0</v>
      </c>
      <c r="C46" s="24" t="s">
        <v>142</v>
      </c>
      <c r="D46" s="34" t="s">
        <v>143</v>
      </c>
      <c r="E46" s="26" t="s">
        <v>144</v>
      </c>
      <c r="F46" s="27">
        <v>1500.0</v>
      </c>
      <c r="G46" s="41"/>
    </row>
    <row r="47" ht="26.25" customHeight="1">
      <c r="A47" s="14" t="b">
        <v>1</v>
      </c>
      <c r="B47" s="15">
        <v>43.0</v>
      </c>
      <c r="C47" s="16" t="s">
        <v>145</v>
      </c>
      <c r="D47" s="32" t="s">
        <v>146</v>
      </c>
      <c r="E47" s="18" t="s">
        <v>147</v>
      </c>
      <c r="F47" s="30">
        <v>2500.0</v>
      </c>
      <c r="G47" s="19"/>
    </row>
    <row r="48" ht="26.25" customHeight="1">
      <c r="A48" s="22" t="b">
        <v>1</v>
      </c>
      <c r="B48" s="23">
        <v>44.0</v>
      </c>
      <c r="C48" s="24" t="s">
        <v>148</v>
      </c>
      <c r="D48" s="34" t="s">
        <v>149</v>
      </c>
      <c r="E48" s="26" t="s">
        <v>150</v>
      </c>
      <c r="F48" s="27">
        <v>5000.0</v>
      </c>
      <c r="G48" s="28"/>
    </row>
    <row r="49" ht="26.25" customHeight="1">
      <c r="A49" s="14" t="b">
        <v>1</v>
      </c>
      <c r="B49" s="15">
        <v>45.0</v>
      </c>
      <c r="C49" s="16" t="s">
        <v>151</v>
      </c>
      <c r="D49" s="32" t="s">
        <v>152</v>
      </c>
      <c r="E49" s="18" t="s">
        <v>153</v>
      </c>
      <c r="F49" s="16">
        <v>300.0</v>
      </c>
      <c r="G49" s="19"/>
    </row>
    <row r="50" ht="26.25" customHeight="1">
      <c r="A50" s="22" t="b">
        <v>0</v>
      </c>
      <c r="B50" s="23">
        <v>46.0</v>
      </c>
      <c r="C50" s="24" t="s">
        <v>154</v>
      </c>
      <c r="D50" s="34" t="s">
        <v>155</v>
      </c>
      <c r="E50" s="26" t="s">
        <v>156</v>
      </c>
      <c r="F50" s="27">
        <v>1000.0</v>
      </c>
      <c r="G50" s="28"/>
    </row>
    <row r="51" ht="26.25" customHeight="1">
      <c r="A51" s="14" t="b">
        <v>0</v>
      </c>
      <c r="B51" s="15">
        <v>47.0</v>
      </c>
      <c r="C51" s="16" t="s">
        <v>157</v>
      </c>
      <c r="D51" s="32" t="s">
        <v>158</v>
      </c>
      <c r="E51" s="18" t="s">
        <v>159</v>
      </c>
      <c r="F51" s="30">
        <v>3500.0</v>
      </c>
      <c r="G51" s="19"/>
    </row>
    <row r="52" ht="22.5" customHeight="1">
      <c r="A52" s="22" t="b">
        <v>1</v>
      </c>
      <c r="B52" s="23">
        <v>48.0</v>
      </c>
      <c r="C52" s="24" t="s">
        <v>160</v>
      </c>
      <c r="D52" s="34" t="s">
        <v>161</v>
      </c>
      <c r="E52" s="26" t="s">
        <v>162</v>
      </c>
      <c r="F52" s="27">
        <v>1200.0</v>
      </c>
      <c r="G52" s="41"/>
      <c r="H52" s="42"/>
      <c r="I52" s="43"/>
      <c r="J52" s="44"/>
      <c r="K52" s="45"/>
      <c r="L52" s="43"/>
      <c r="M52" s="46"/>
    </row>
    <row r="53" ht="22.5" customHeight="1">
      <c r="A53" s="14" t="b">
        <v>1</v>
      </c>
      <c r="B53" s="15">
        <v>49.0</v>
      </c>
      <c r="C53" s="16" t="s">
        <v>163</v>
      </c>
      <c r="D53" s="32" t="s">
        <v>164</v>
      </c>
      <c r="E53" s="18" t="s">
        <v>165</v>
      </c>
      <c r="F53" s="16">
        <v>600.0</v>
      </c>
      <c r="G53" s="19"/>
    </row>
    <row r="54" ht="22.5" customHeight="1">
      <c r="A54" s="22" t="b">
        <v>0</v>
      </c>
      <c r="B54" s="23">
        <v>50.0</v>
      </c>
      <c r="C54" s="24" t="s">
        <v>166</v>
      </c>
      <c r="D54" s="34" t="s">
        <v>167</v>
      </c>
      <c r="E54" s="26" t="s">
        <v>168</v>
      </c>
      <c r="F54" s="27">
        <v>2000.0</v>
      </c>
      <c r="G54" s="28"/>
    </row>
    <row r="55" ht="22.5" customHeight="1">
      <c r="A55" s="14" t="b">
        <v>1</v>
      </c>
      <c r="B55" s="15">
        <v>51.0</v>
      </c>
      <c r="C55" s="16" t="s">
        <v>169</v>
      </c>
      <c r="D55" s="32" t="s">
        <v>170</v>
      </c>
      <c r="E55" s="18" t="s">
        <v>171</v>
      </c>
      <c r="F55" s="30">
        <v>1000.0</v>
      </c>
      <c r="G55" s="19"/>
    </row>
    <row r="56" ht="22.5" customHeight="1">
      <c r="A56" s="22" t="b">
        <v>0</v>
      </c>
      <c r="B56" s="23">
        <v>52.0</v>
      </c>
      <c r="C56" s="24" t="s">
        <v>172</v>
      </c>
      <c r="D56" s="34" t="s">
        <v>173</v>
      </c>
      <c r="E56" s="26" t="s">
        <v>174</v>
      </c>
      <c r="F56" s="27">
        <v>2800.0</v>
      </c>
      <c r="G56" s="28"/>
    </row>
    <row r="57" ht="22.5" customHeight="1">
      <c r="A57" s="14" t="b">
        <v>1</v>
      </c>
      <c r="B57" s="15">
        <v>53.0</v>
      </c>
      <c r="C57" s="16" t="s">
        <v>175</v>
      </c>
      <c r="D57" s="32" t="s">
        <v>176</v>
      </c>
      <c r="E57" s="18" t="s">
        <v>177</v>
      </c>
      <c r="F57" s="16">
        <v>400.0</v>
      </c>
      <c r="G57" s="19"/>
    </row>
    <row r="58" ht="22.5" customHeight="1">
      <c r="A58" s="22" t="b">
        <v>0</v>
      </c>
      <c r="B58" s="23">
        <v>54.0</v>
      </c>
      <c r="C58" s="24" t="s">
        <v>178</v>
      </c>
      <c r="D58" s="34" t="s">
        <v>179</v>
      </c>
      <c r="E58" s="26" t="s">
        <v>180</v>
      </c>
      <c r="F58" s="27">
        <v>1500.0</v>
      </c>
      <c r="G58" s="28"/>
    </row>
    <row r="59" ht="22.5" customHeight="1">
      <c r="A59" s="14" t="b">
        <v>0</v>
      </c>
      <c r="B59" s="15">
        <v>55.0</v>
      </c>
      <c r="C59" s="16" t="s">
        <v>181</v>
      </c>
      <c r="D59" s="32" t="s">
        <v>182</v>
      </c>
      <c r="E59" s="18" t="s">
        <v>183</v>
      </c>
      <c r="F59" s="30">
        <v>5000.0</v>
      </c>
      <c r="G59" s="19"/>
    </row>
    <row r="60" ht="22.5" customHeight="1">
      <c r="A60" s="22" t="b">
        <v>0</v>
      </c>
      <c r="B60" s="23">
        <v>56.0</v>
      </c>
      <c r="C60" s="24" t="s">
        <v>184</v>
      </c>
      <c r="D60" s="34" t="s">
        <v>185</v>
      </c>
      <c r="E60" s="26" t="s">
        <v>186</v>
      </c>
      <c r="F60" s="24">
        <v>800.0</v>
      </c>
      <c r="G60" s="28"/>
    </row>
    <row r="61" ht="22.5" customHeight="1">
      <c r="A61" s="14" t="b">
        <v>0</v>
      </c>
      <c r="B61" s="15">
        <v>57.0</v>
      </c>
      <c r="C61" s="16" t="s">
        <v>187</v>
      </c>
      <c r="D61" s="32" t="s">
        <v>188</v>
      </c>
      <c r="E61" s="18" t="s">
        <v>189</v>
      </c>
      <c r="F61" s="30">
        <v>2000.0</v>
      </c>
      <c r="G61" s="19"/>
    </row>
    <row r="62" ht="22.5" customHeight="1">
      <c r="A62" s="22" t="b">
        <v>0</v>
      </c>
      <c r="B62" s="23">
        <v>58.0</v>
      </c>
      <c r="C62" s="24" t="s">
        <v>190</v>
      </c>
      <c r="D62" s="34" t="s">
        <v>191</v>
      </c>
      <c r="E62" s="26" t="s">
        <v>192</v>
      </c>
      <c r="F62" s="27">
        <v>3000.0</v>
      </c>
      <c r="G62" s="28"/>
    </row>
    <row r="63" ht="22.5" customHeight="1">
      <c r="A63" s="14" t="b">
        <v>1</v>
      </c>
      <c r="B63" s="15">
        <v>59.0</v>
      </c>
      <c r="C63" s="16" t="s">
        <v>193</v>
      </c>
      <c r="D63" s="32" t="s">
        <v>194</v>
      </c>
      <c r="E63" s="18" t="s">
        <v>195</v>
      </c>
      <c r="F63" s="30">
        <v>1000.0</v>
      </c>
      <c r="G63" s="19"/>
    </row>
    <row r="64" ht="22.5" customHeight="1">
      <c r="A64" s="22" t="b">
        <v>1</v>
      </c>
      <c r="B64" s="23">
        <v>60.0</v>
      </c>
      <c r="C64" s="24" t="s">
        <v>196</v>
      </c>
      <c r="D64" s="34" t="s">
        <v>197</v>
      </c>
      <c r="E64" s="26" t="s">
        <v>198</v>
      </c>
      <c r="F64" s="27">
        <v>1500.0</v>
      </c>
      <c r="G64" s="28"/>
    </row>
    <row r="65" ht="22.5" customHeight="1">
      <c r="A65" s="14" t="b">
        <v>1</v>
      </c>
      <c r="B65" s="15">
        <v>61.0</v>
      </c>
      <c r="C65" s="16" t="s">
        <v>199</v>
      </c>
      <c r="D65" s="32" t="s">
        <v>200</v>
      </c>
      <c r="E65" s="18" t="s">
        <v>201</v>
      </c>
      <c r="F65" s="30">
        <v>2500.0</v>
      </c>
      <c r="G65" s="19"/>
    </row>
    <row r="66" ht="22.5" customHeight="1">
      <c r="A66" s="22" t="b">
        <v>1</v>
      </c>
      <c r="B66" s="23">
        <v>62.0</v>
      </c>
      <c r="C66" s="24" t="s">
        <v>202</v>
      </c>
      <c r="D66" s="34" t="s">
        <v>203</v>
      </c>
      <c r="E66" s="26" t="s">
        <v>204</v>
      </c>
      <c r="F66" s="24">
        <v>200.0</v>
      </c>
      <c r="G66" s="28"/>
    </row>
    <row r="67" ht="22.5" customHeight="1">
      <c r="A67" s="14" t="b">
        <v>1</v>
      </c>
      <c r="B67" s="15">
        <v>63.0</v>
      </c>
      <c r="C67" s="16" t="s">
        <v>205</v>
      </c>
      <c r="D67" s="32" t="s">
        <v>206</v>
      </c>
      <c r="E67" s="18" t="s">
        <v>207</v>
      </c>
      <c r="F67" s="30">
        <v>1000.0</v>
      </c>
      <c r="G67" s="19"/>
    </row>
    <row r="68" ht="22.5" customHeight="1">
      <c r="A68" s="22" t="b">
        <v>0</v>
      </c>
      <c r="B68" s="23">
        <v>64.0</v>
      </c>
      <c r="C68" s="24" t="s">
        <v>208</v>
      </c>
      <c r="D68" s="34" t="s">
        <v>209</v>
      </c>
      <c r="E68" s="26" t="s">
        <v>210</v>
      </c>
      <c r="F68" s="27">
        <v>4000.0</v>
      </c>
      <c r="G68" s="28"/>
    </row>
    <row r="69" ht="22.5" customHeight="1">
      <c r="A69" s="14" t="b">
        <v>1</v>
      </c>
      <c r="B69" s="15">
        <v>65.0</v>
      </c>
      <c r="C69" s="16" t="s">
        <v>211</v>
      </c>
      <c r="D69" s="32" t="s">
        <v>212</v>
      </c>
      <c r="E69" s="18" t="s">
        <v>213</v>
      </c>
      <c r="F69" s="16">
        <v>500.0</v>
      </c>
      <c r="G69" s="19"/>
    </row>
    <row r="70" ht="22.5" customHeight="1">
      <c r="A70" s="22" t="b">
        <v>1</v>
      </c>
      <c r="B70" s="23">
        <v>66.0</v>
      </c>
      <c r="C70" s="24" t="s">
        <v>214</v>
      </c>
      <c r="D70" s="34" t="s">
        <v>215</v>
      </c>
      <c r="E70" s="26" t="s">
        <v>216</v>
      </c>
      <c r="F70" s="27">
        <v>2000.0</v>
      </c>
      <c r="G70" s="28"/>
    </row>
    <row r="71" ht="22.5" customHeight="1">
      <c r="A71" s="14" t="b">
        <v>1</v>
      </c>
      <c r="B71" s="15">
        <v>67.0</v>
      </c>
      <c r="C71" s="16" t="s">
        <v>217</v>
      </c>
      <c r="D71" s="32" t="s">
        <v>218</v>
      </c>
      <c r="E71" s="18" t="s">
        <v>219</v>
      </c>
      <c r="F71" s="30">
        <v>5000.0</v>
      </c>
      <c r="G71" s="19"/>
    </row>
    <row r="72" ht="22.5" customHeight="1">
      <c r="A72" s="22" t="b">
        <v>0</v>
      </c>
      <c r="B72" s="23">
        <v>68.0</v>
      </c>
      <c r="C72" s="24" t="s">
        <v>220</v>
      </c>
      <c r="D72" s="34" t="s">
        <v>221</v>
      </c>
      <c r="E72" s="26" t="s">
        <v>222</v>
      </c>
      <c r="F72" s="27">
        <v>1200.0</v>
      </c>
      <c r="G72" s="41"/>
    </row>
    <row r="73" ht="22.5" customHeight="1">
      <c r="A73" s="14" t="b">
        <v>1</v>
      </c>
      <c r="B73" s="15">
        <v>69.0</v>
      </c>
      <c r="C73" s="16" t="s">
        <v>223</v>
      </c>
      <c r="D73" s="32" t="s">
        <v>224</v>
      </c>
      <c r="E73" s="18" t="s">
        <v>225</v>
      </c>
      <c r="F73" s="16">
        <v>700.0</v>
      </c>
      <c r="G73" s="19"/>
    </row>
    <row r="74" ht="22.5" customHeight="1">
      <c r="A74" s="22" t="b">
        <v>0</v>
      </c>
      <c r="B74" s="23">
        <v>70.0</v>
      </c>
      <c r="C74" s="24" t="s">
        <v>226</v>
      </c>
      <c r="D74" s="34" t="s">
        <v>227</v>
      </c>
      <c r="E74" s="26" t="s">
        <v>228</v>
      </c>
      <c r="F74" s="27">
        <v>3000.0</v>
      </c>
      <c r="G74" s="28"/>
    </row>
    <row r="75" ht="22.5" customHeight="1">
      <c r="A75" s="14" t="b">
        <v>1</v>
      </c>
      <c r="B75" s="15">
        <v>71.0</v>
      </c>
      <c r="C75" s="16" t="s">
        <v>229</v>
      </c>
      <c r="D75" s="32" t="s">
        <v>230</v>
      </c>
      <c r="E75" s="18" t="s">
        <v>231</v>
      </c>
      <c r="F75" s="30">
        <v>1500.0</v>
      </c>
      <c r="G75" s="35"/>
    </row>
    <row r="76" ht="22.5" customHeight="1">
      <c r="A76" s="22" t="b">
        <v>1</v>
      </c>
      <c r="B76" s="23">
        <v>72.0</v>
      </c>
      <c r="C76" s="24" t="s">
        <v>232</v>
      </c>
      <c r="D76" s="34" t="s">
        <v>233</v>
      </c>
      <c r="E76" s="26" t="s">
        <v>234</v>
      </c>
      <c r="F76" s="27">
        <v>2200.0</v>
      </c>
      <c r="G76" s="28"/>
    </row>
    <row r="77" ht="22.5" customHeight="1">
      <c r="A77" s="14" t="b">
        <v>1</v>
      </c>
      <c r="B77" s="15">
        <v>73.0</v>
      </c>
      <c r="C77" s="16" t="s">
        <v>235</v>
      </c>
      <c r="D77" s="32" t="s">
        <v>236</v>
      </c>
      <c r="E77" s="18" t="s">
        <v>237</v>
      </c>
      <c r="F77" s="30">
        <v>1000.0</v>
      </c>
      <c r="G77" s="19"/>
    </row>
    <row r="78" ht="22.5" customHeight="1">
      <c r="A78" s="22" t="b">
        <v>1</v>
      </c>
      <c r="B78" s="23">
        <v>74.0</v>
      </c>
      <c r="C78" s="24" t="s">
        <v>238</v>
      </c>
      <c r="D78" s="34" t="s">
        <v>239</v>
      </c>
      <c r="E78" s="26" t="s">
        <v>240</v>
      </c>
      <c r="F78" s="24">
        <v>900.0</v>
      </c>
      <c r="G78" s="28"/>
    </row>
    <row r="79" ht="22.5" customHeight="1">
      <c r="A79" s="14" t="b">
        <v>1</v>
      </c>
      <c r="B79" s="15">
        <v>75.0</v>
      </c>
      <c r="C79" s="16" t="s">
        <v>241</v>
      </c>
      <c r="D79" s="32" t="s">
        <v>242</v>
      </c>
      <c r="E79" s="18" t="s">
        <v>243</v>
      </c>
      <c r="F79" s="30">
        <v>4500.0</v>
      </c>
      <c r="G79" s="35"/>
    </row>
    <row r="80" ht="22.5" customHeight="1">
      <c r="A80" s="22" t="b">
        <v>0</v>
      </c>
      <c r="B80" s="23">
        <v>76.0</v>
      </c>
      <c r="C80" s="24" t="s">
        <v>244</v>
      </c>
      <c r="D80" s="34" t="s">
        <v>245</v>
      </c>
      <c r="E80" s="26" t="s">
        <v>246</v>
      </c>
      <c r="F80" s="24">
        <v>300.0</v>
      </c>
      <c r="G80" s="41"/>
    </row>
    <row r="81" ht="22.5" customHeight="1">
      <c r="A81" s="14" t="b">
        <v>1</v>
      </c>
      <c r="B81" s="15">
        <v>77.0</v>
      </c>
      <c r="C81" s="16" t="s">
        <v>247</v>
      </c>
      <c r="D81" s="32" t="s">
        <v>248</v>
      </c>
      <c r="E81" s="18" t="s">
        <v>249</v>
      </c>
      <c r="F81" s="30">
        <v>2500.0</v>
      </c>
      <c r="G81" s="19"/>
    </row>
    <row r="82" ht="22.5" customHeight="1">
      <c r="A82" s="22" t="b">
        <v>1</v>
      </c>
      <c r="B82" s="23">
        <v>78.0</v>
      </c>
      <c r="C82" s="24" t="s">
        <v>250</v>
      </c>
      <c r="D82" s="34" t="s">
        <v>251</v>
      </c>
      <c r="E82" s="26" t="s">
        <v>252</v>
      </c>
      <c r="F82" s="27">
        <v>5000.0</v>
      </c>
      <c r="G82" s="28"/>
    </row>
    <row r="83" ht="22.5" customHeight="1">
      <c r="A83" s="14" t="b">
        <v>0</v>
      </c>
      <c r="B83" s="15">
        <v>79.0</v>
      </c>
      <c r="C83" s="16" t="s">
        <v>253</v>
      </c>
      <c r="D83" s="32" t="s">
        <v>254</v>
      </c>
      <c r="E83" s="18" t="s">
        <v>255</v>
      </c>
      <c r="F83" s="30">
        <v>1000.0</v>
      </c>
      <c r="G83" s="19"/>
    </row>
    <row r="84" ht="22.5" customHeight="1">
      <c r="A84" s="22" t="b">
        <v>0</v>
      </c>
      <c r="B84" s="23">
        <v>80.0</v>
      </c>
      <c r="C84" s="24" t="s">
        <v>256</v>
      </c>
      <c r="D84" s="34" t="s">
        <v>257</v>
      </c>
      <c r="E84" s="26" t="s">
        <v>258</v>
      </c>
      <c r="F84" s="27">
        <v>1800.0</v>
      </c>
      <c r="G84" s="28"/>
    </row>
    <row r="85" ht="22.5" customHeight="1">
      <c r="A85" s="14" t="b">
        <v>0</v>
      </c>
      <c r="B85" s="15">
        <v>81.0</v>
      </c>
      <c r="C85" s="16" t="s">
        <v>259</v>
      </c>
      <c r="D85" s="32" t="s">
        <v>260</v>
      </c>
      <c r="E85" s="18" t="s">
        <v>261</v>
      </c>
      <c r="F85" s="30">
        <v>2000.0</v>
      </c>
      <c r="G85" s="35"/>
    </row>
    <row r="86" ht="22.5" customHeight="1">
      <c r="A86" s="22" t="b">
        <v>1</v>
      </c>
      <c r="B86" s="23">
        <v>82.0</v>
      </c>
      <c r="C86" s="24" t="s">
        <v>262</v>
      </c>
      <c r="D86" s="34" t="s">
        <v>263</v>
      </c>
      <c r="E86" s="26" t="s">
        <v>264</v>
      </c>
      <c r="F86" s="24">
        <v>600.0</v>
      </c>
      <c r="G86" s="41"/>
    </row>
    <row r="87" ht="22.5" customHeight="1">
      <c r="A87" s="14" t="b">
        <v>1</v>
      </c>
      <c r="B87" s="15">
        <v>83.0</v>
      </c>
      <c r="C87" s="16" t="s">
        <v>265</v>
      </c>
      <c r="D87" s="32" t="s">
        <v>266</v>
      </c>
      <c r="E87" s="18" t="s">
        <v>267</v>
      </c>
      <c r="F87" s="30">
        <v>3500.0</v>
      </c>
      <c r="G87" s="19"/>
    </row>
    <row r="88" ht="22.5" customHeight="1">
      <c r="A88" s="22" t="b">
        <v>0</v>
      </c>
      <c r="B88" s="23">
        <v>84.0</v>
      </c>
      <c r="C88" s="24" t="s">
        <v>268</v>
      </c>
      <c r="D88" s="34" t="s">
        <v>269</v>
      </c>
      <c r="E88" s="26" t="s">
        <v>270</v>
      </c>
      <c r="F88" s="27">
        <v>1200.0</v>
      </c>
      <c r="G88" s="28"/>
    </row>
    <row r="89" ht="22.5" customHeight="1">
      <c r="A89" s="14" t="b">
        <v>1</v>
      </c>
      <c r="B89" s="15">
        <v>85.0</v>
      </c>
      <c r="C89" s="16" t="s">
        <v>271</v>
      </c>
      <c r="D89" s="32" t="s">
        <v>272</v>
      </c>
      <c r="E89" s="18" t="s">
        <v>273</v>
      </c>
      <c r="F89" s="30">
        <v>2500.0</v>
      </c>
      <c r="G89" s="19"/>
    </row>
    <row r="90" ht="22.5" customHeight="1">
      <c r="A90" s="22" t="b">
        <v>1</v>
      </c>
      <c r="B90" s="23">
        <v>86.0</v>
      </c>
      <c r="C90" s="24" t="s">
        <v>274</v>
      </c>
      <c r="D90" s="34" t="s">
        <v>275</v>
      </c>
      <c r="E90" s="26" t="s">
        <v>276</v>
      </c>
      <c r="F90" s="24">
        <v>400.0</v>
      </c>
      <c r="G90" s="41"/>
    </row>
    <row r="91" ht="22.5" customHeight="1">
      <c r="A91" s="14" t="b">
        <v>0</v>
      </c>
      <c r="B91" s="15">
        <v>87.0</v>
      </c>
      <c r="C91" s="16" t="s">
        <v>277</v>
      </c>
      <c r="D91" s="32" t="s">
        <v>278</v>
      </c>
      <c r="E91" s="18" t="s">
        <v>279</v>
      </c>
      <c r="F91" s="30">
        <v>1000.0</v>
      </c>
      <c r="G91" s="35"/>
    </row>
    <row r="92" ht="22.5" customHeight="1">
      <c r="A92" s="22" t="b">
        <v>0</v>
      </c>
      <c r="B92" s="23">
        <v>88.0</v>
      </c>
      <c r="C92" s="24" t="s">
        <v>280</v>
      </c>
      <c r="D92" s="34" t="s">
        <v>281</v>
      </c>
      <c r="E92" s="26" t="s">
        <v>282</v>
      </c>
      <c r="F92" s="27">
        <v>5000.0</v>
      </c>
      <c r="G92" s="28"/>
    </row>
    <row r="93" ht="22.5" customHeight="1">
      <c r="A93" s="14" t="b">
        <v>1</v>
      </c>
      <c r="B93" s="15">
        <v>89.0</v>
      </c>
      <c r="C93" s="16" t="s">
        <v>283</v>
      </c>
      <c r="D93" s="32" t="s">
        <v>284</v>
      </c>
      <c r="E93" s="18" t="s">
        <v>285</v>
      </c>
      <c r="F93" s="30">
        <v>1500.0</v>
      </c>
      <c r="G93" s="19"/>
    </row>
    <row r="94" ht="22.5" customHeight="1">
      <c r="A94" s="22" t="b">
        <v>0</v>
      </c>
      <c r="B94" s="23">
        <v>90.0</v>
      </c>
      <c r="C94" s="24" t="s">
        <v>286</v>
      </c>
      <c r="D94" s="34" t="s">
        <v>287</v>
      </c>
      <c r="E94" s="26" t="s">
        <v>288</v>
      </c>
      <c r="F94" s="27">
        <v>2000.0</v>
      </c>
      <c r="G94" s="28"/>
    </row>
    <row r="95" ht="22.5" customHeight="1">
      <c r="A95" s="14" t="b">
        <v>0</v>
      </c>
      <c r="B95" s="15">
        <v>91.0</v>
      </c>
      <c r="C95" s="16" t="s">
        <v>289</v>
      </c>
      <c r="D95" s="32" t="s">
        <v>290</v>
      </c>
      <c r="E95" s="18" t="s">
        <v>291</v>
      </c>
      <c r="F95" s="16">
        <v>800.0</v>
      </c>
      <c r="G95" s="19"/>
    </row>
    <row r="96" ht="22.5" customHeight="1">
      <c r="A96" s="22" t="b">
        <v>1</v>
      </c>
      <c r="B96" s="23">
        <v>92.0</v>
      </c>
      <c r="C96" s="24" t="s">
        <v>292</v>
      </c>
      <c r="D96" s="34" t="s">
        <v>293</v>
      </c>
      <c r="E96" s="26" t="s">
        <v>294</v>
      </c>
      <c r="F96" s="27">
        <v>4000.0</v>
      </c>
      <c r="G96" s="28"/>
    </row>
    <row r="97" ht="22.5" customHeight="1">
      <c r="A97" s="14" t="b">
        <v>1</v>
      </c>
      <c r="B97" s="15">
        <v>93.0</v>
      </c>
      <c r="C97" s="16" t="s">
        <v>295</v>
      </c>
      <c r="D97" s="32" t="s">
        <v>296</v>
      </c>
      <c r="E97" s="18" t="s">
        <v>297</v>
      </c>
      <c r="F97" s="30">
        <v>1000.0</v>
      </c>
      <c r="G97" s="19"/>
    </row>
    <row r="98" ht="22.5" customHeight="1">
      <c r="A98" s="22" t="b">
        <v>0</v>
      </c>
      <c r="B98" s="23">
        <v>94.0</v>
      </c>
      <c r="C98" s="24" t="s">
        <v>298</v>
      </c>
      <c r="D98" s="34" t="s">
        <v>299</v>
      </c>
      <c r="E98" s="26" t="s">
        <v>300</v>
      </c>
      <c r="F98" s="27">
        <v>2200.0</v>
      </c>
      <c r="G98" s="28"/>
    </row>
    <row r="99" ht="22.5" customHeight="1">
      <c r="A99" s="14" t="b">
        <v>1</v>
      </c>
      <c r="B99" s="15">
        <v>95.0</v>
      </c>
      <c r="C99" s="16" t="s">
        <v>301</v>
      </c>
      <c r="D99" s="32" t="s">
        <v>302</v>
      </c>
      <c r="E99" s="18" t="s">
        <v>303</v>
      </c>
      <c r="F99" s="16">
        <v>500.0</v>
      </c>
      <c r="G99" s="19"/>
    </row>
    <row r="100" ht="22.5" customHeight="1">
      <c r="A100" s="22" t="b">
        <v>0</v>
      </c>
      <c r="B100" s="23">
        <v>96.0</v>
      </c>
      <c r="C100" s="24" t="s">
        <v>304</v>
      </c>
      <c r="D100" s="34" t="s">
        <v>305</v>
      </c>
      <c r="E100" s="26" t="s">
        <v>306</v>
      </c>
      <c r="F100" s="27">
        <v>3000.0</v>
      </c>
      <c r="G100" s="28"/>
    </row>
    <row r="101" ht="22.5" customHeight="1">
      <c r="A101" s="14" t="b">
        <v>1</v>
      </c>
      <c r="B101" s="15">
        <v>97.0</v>
      </c>
      <c r="C101" s="16" t="s">
        <v>307</v>
      </c>
      <c r="D101" s="32" t="s">
        <v>308</v>
      </c>
      <c r="E101" s="18" t="s">
        <v>309</v>
      </c>
      <c r="F101" s="30">
        <v>1200.0</v>
      </c>
      <c r="G101" s="19"/>
    </row>
    <row r="102" ht="22.5" customHeight="1">
      <c r="A102" s="22" t="b">
        <v>1</v>
      </c>
      <c r="B102" s="23">
        <v>98.0</v>
      </c>
      <c r="C102" s="24" t="s">
        <v>310</v>
      </c>
      <c r="D102" s="34" t="s">
        <v>311</v>
      </c>
      <c r="E102" s="26" t="s">
        <v>312</v>
      </c>
      <c r="F102" s="27">
        <v>2500.0</v>
      </c>
      <c r="G102" s="28"/>
    </row>
    <row r="103" ht="22.5" customHeight="1">
      <c r="A103" s="14" t="b">
        <v>1</v>
      </c>
      <c r="B103" s="15">
        <v>99.0</v>
      </c>
      <c r="C103" s="16" t="s">
        <v>313</v>
      </c>
      <c r="D103" s="32" t="s">
        <v>314</v>
      </c>
      <c r="E103" s="18" t="s">
        <v>315</v>
      </c>
      <c r="F103" s="30">
        <v>5000.0</v>
      </c>
      <c r="G103" s="19"/>
    </row>
    <row r="104" ht="22.5" customHeight="1">
      <c r="A104" s="22" t="b">
        <v>1</v>
      </c>
      <c r="B104" s="23">
        <v>100.0</v>
      </c>
      <c r="C104" s="24" t="s">
        <v>316</v>
      </c>
      <c r="D104" s="34" t="s">
        <v>317</v>
      </c>
      <c r="E104" s="26" t="s">
        <v>318</v>
      </c>
      <c r="F104" s="24">
        <v>700.0</v>
      </c>
      <c r="G104" s="28"/>
    </row>
    <row r="105" ht="22.5" customHeight="1">
      <c r="A105" s="14" t="b">
        <v>0</v>
      </c>
      <c r="B105" s="15">
        <v>101.0</v>
      </c>
      <c r="C105" s="16" t="s">
        <v>319</v>
      </c>
      <c r="D105" s="32" t="s">
        <v>320</v>
      </c>
      <c r="E105" s="18" t="s">
        <v>321</v>
      </c>
      <c r="F105" s="30">
        <v>1000.0</v>
      </c>
      <c r="G105" s="19"/>
    </row>
    <row r="106" ht="22.5" customHeight="1">
      <c r="A106" s="22" t="b">
        <v>1</v>
      </c>
      <c r="B106" s="23">
        <v>102.0</v>
      </c>
      <c r="C106" s="24" t="s">
        <v>322</v>
      </c>
      <c r="D106" s="34" t="s">
        <v>323</v>
      </c>
      <c r="E106" s="26" t="s">
        <v>324</v>
      </c>
      <c r="F106" s="27">
        <v>2000.0</v>
      </c>
      <c r="G106" s="28"/>
    </row>
    <row r="107" ht="22.5" customHeight="1">
      <c r="A107" s="14" t="b">
        <v>1</v>
      </c>
      <c r="B107" s="15">
        <v>103.0</v>
      </c>
      <c r="C107" s="16" t="s">
        <v>325</v>
      </c>
      <c r="D107" s="32" t="s">
        <v>326</v>
      </c>
      <c r="E107" s="18" t="s">
        <v>327</v>
      </c>
      <c r="F107" s="30">
        <v>1500.0</v>
      </c>
      <c r="G107" s="19"/>
    </row>
    <row r="108" ht="22.5" customHeight="1">
      <c r="A108" s="22" t="b">
        <v>0</v>
      </c>
      <c r="B108" s="23">
        <v>104.0</v>
      </c>
      <c r="C108" s="24" t="s">
        <v>328</v>
      </c>
      <c r="D108" s="34" t="s">
        <v>329</v>
      </c>
      <c r="E108" s="26" t="s">
        <v>330</v>
      </c>
      <c r="F108" s="24">
        <v>900.0</v>
      </c>
      <c r="G108" s="28"/>
    </row>
    <row r="109" ht="22.5" customHeight="1">
      <c r="A109" s="14" t="b">
        <v>1</v>
      </c>
      <c r="B109" s="15">
        <v>105.0</v>
      </c>
      <c r="C109" s="16" t="s">
        <v>331</v>
      </c>
      <c r="D109" s="32" t="s">
        <v>332</v>
      </c>
      <c r="E109" s="18" t="s">
        <v>333</v>
      </c>
      <c r="F109" s="30">
        <v>3500.0</v>
      </c>
      <c r="G109" s="19"/>
    </row>
    <row r="110" ht="22.5" customHeight="1">
      <c r="A110" s="22" t="b">
        <v>0</v>
      </c>
      <c r="B110" s="23">
        <v>106.0</v>
      </c>
      <c r="C110" s="24" t="s">
        <v>334</v>
      </c>
      <c r="D110" s="34" t="s">
        <v>335</v>
      </c>
      <c r="E110" s="26" t="s">
        <v>336</v>
      </c>
      <c r="F110" s="24">
        <v>200.0</v>
      </c>
      <c r="G110" s="28"/>
    </row>
    <row r="111" ht="22.5" customHeight="1">
      <c r="A111" s="14" t="b">
        <v>0</v>
      </c>
      <c r="B111" s="15">
        <v>107.0</v>
      </c>
      <c r="C111" s="16" t="s">
        <v>337</v>
      </c>
      <c r="D111" s="32" t="s">
        <v>338</v>
      </c>
      <c r="E111" s="18" t="s">
        <v>339</v>
      </c>
      <c r="F111" s="30">
        <v>2500.0</v>
      </c>
      <c r="G111" s="19"/>
    </row>
    <row r="112" ht="22.5" customHeight="1">
      <c r="A112" s="22" t="b">
        <v>1</v>
      </c>
      <c r="B112" s="23">
        <v>108.0</v>
      </c>
      <c r="C112" s="24" t="s">
        <v>340</v>
      </c>
      <c r="D112" s="34" t="s">
        <v>341</v>
      </c>
      <c r="E112" s="26" t="s">
        <v>342</v>
      </c>
      <c r="F112" s="27">
        <v>1000.0</v>
      </c>
      <c r="G112" s="41"/>
    </row>
    <row r="113" ht="22.5" customHeight="1">
      <c r="A113" s="14" t="b">
        <v>1</v>
      </c>
      <c r="B113" s="15">
        <v>109.0</v>
      </c>
      <c r="C113" s="16" t="s">
        <v>343</v>
      </c>
      <c r="D113" s="32" t="s">
        <v>344</v>
      </c>
      <c r="E113" s="18" t="s">
        <v>345</v>
      </c>
      <c r="F113" s="30">
        <v>4000.0</v>
      </c>
      <c r="G113" s="19"/>
    </row>
    <row r="114" ht="22.5" customHeight="1">
      <c r="A114" s="22" t="b">
        <v>0</v>
      </c>
      <c r="B114" s="23">
        <v>110.0</v>
      </c>
      <c r="C114" s="24" t="s">
        <v>346</v>
      </c>
      <c r="D114" s="34" t="s">
        <v>347</v>
      </c>
      <c r="E114" s="26" t="s">
        <v>348</v>
      </c>
      <c r="F114" s="27">
        <v>1200.0</v>
      </c>
      <c r="G114" s="28"/>
    </row>
    <row r="115" ht="22.5" customHeight="1">
      <c r="A115" s="14" t="b">
        <v>0</v>
      </c>
      <c r="B115" s="15">
        <v>111.0</v>
      </c>
      <c r="C115" s="16" t="s">
        <v>349</v>
      </c>
      <c r="D115" s="32" t="s">
        <v>350</v>
      </c>
      <c r="E115" s="18" t="s">
        <v>351</v>
      </c>
      <c r="F115" s="30">
        <v>2000.0</v>
      </c>
      <c r="G115" s="19"/>
    </row>
    <row r="116" ht="22.5" customHeight="1">
      <c r="A116" s="22" t="b">
        <v>1</v>
      </c>
      <c r="B116" s="23">
        <v>112.0</v>
      </c>
      <c r="C116" s="24" t="s">
        <v>352</v>
      </c>
      <c r="D116" s="34" t="s">
        <v>353</v>
      </c>
      <c r="E116" s="26" t="s">
        <v>354</v>
      </c>
      <c r="F116" s="27">
        <v>5000.0</v>
      </c>
      <c r="G116" s="41"/>
    </row>
    <row r="117" ht="22.5" customHeight="1">
      <c r="A117" s="14" t="b">
        <v>1</v>
      </c>
      <c r="B117" s="15">
        <v>113.0</v>
      </c>
      <c r="C117" s="16" t="s">
        <v>355</v>
      </c>
      <c r="D117" s="32" t="s">
        <v>356</v>
      </c>
      <c r="E117" s="18" t="s">
        <v>357</v>
      </c>
      <c r="F117" s="16">
        <v>600.0</v>
      </c>
      <c r="G117" s="19"/>
    </row>
    <row r="118" ht="22.5" customHeight="1">
      <c r="A118" s="22" t="b">
        <v>1</v>
      </c>
      <c r="B118" s="23">
        <v>114.0</v>
      </c>
      <c r="C118" s="24" t="s">
        <v>358</v>
      </c>
      <c r="D118" s="34" t="s">
        <v>359</v>
      </c>
      <c r="E118" s="26" t="s">
        <v>360</v>
      </c>
      <c r="F118" s="27">
        <v>1500.0</v>
      </c>
      <c r="G118" s="28"/>
    </row>
    <row r="119" ht="22.5" customHeight="1">
      <c r="A119" s="14" t="b">
        <v>1</v>
      </c>
      <c r="B119" s="15">
        <v>115.0</v>
      </c>
      <c r="C119" s="16" t="s">
        <v>361</v>
      </c>
      <c r="D119" s="32" t="s">
        <v>362</v>
      </c>
      <c r="E119" s="18" t="s">
        <v>363</v>
      </c>
      <c r="F119" s="30">
        <v>3000.0</v>
      </c>
      <c r="G119" s="19"/>
    </row>
    <row r="120" ht="22.5" customHeight="1">
      <c r="A120" s="22" t="b">
        <v>1</v>
      </c>
      <c r="B120" s="23">
        <v>116.0</v>
      </c>
      <c r="C120" s="24" t="s">
        <v>364</v>
      </c>
      <c r="D120" s="34" t="s">
        <v>365</v>
      </c>
      <c r="E120" s="26" t="s">
        <v>366</v>
      </c>
      <c r="F120" s="27">
        <v>1000.0</v>
      </c>
    </row>
    <row r="121" ht="22.5" customHeight="1">
      <c r="A121" s="14" t="b">
        <v>0</v>
      </c>
      <c r="B121" s="15">
        <v>117.0</v>
      </c>
      <c r="C121" s="16" t="s">
        <v>367</v>
      </c>
      <c r="D121" s="32" t="s">
        <v>368</v>
      </c>
      <c r="E121" s="18" t="s">
        <v>369</v>
      </c>
      <c r="F121" s="16">
        <v>800.0</v>
      </c>
    </row>
    <row r="122" ht="22.5" customHeight="1">
      <c r="A122" s="22" t="b">
        <v>1</v>
      </c>
      <c r="B122" s="23">
        <v>118.0</v>
      </c>
      <c r="C122" s="24" t="s">
        <v>370</v>
      </c>
      <c r="D122" s="34" t="s">
        <v>371</v>
      </c>
      <c r="E122" s="26" t="s">
        <v>372</v>
      </c>
      <c r="F122" s="27">
        <v>2500.0</v>
      </c>
      <c r="G122" s="28"/>
    </row>
    <row r="123" ht="22.5" customHeight="1">
      <c r="A123" s="14" t="b">
        <v>1</v>
      </c>
      <c r="B123" s="15">
        <v>119.0</v>
      </c>
      <c r="C123" s="16" t="s">
        <v>373</v>
      </c>
      <c r="D123" s="32" t="s">
        <v>374</v>
      </c>
      <c r="E123" s="18" t="s">
        <v>375</v>
      </c>
      <c r="F123" s="16">
        <v>400.0</v>
      </c>
      <c r="G123" s="19"/>
    </row>
    <row r="124" ht="22.5" customHeight="1">
      <c r="A124" s="22" t="b">
        <v>1</v>
      </c>
      <c r="B124" s="23">
        <v>120.0</v>
      </c>
      <c r="C124" s="24" t="s">
        <v>376</v>
      </c>
      <c r="D124" s="34" t="s">
        <v>377</v>
      </c>
      <c r="E124" s="26" t="s">
        <v>378</v>
      </c>
      <c r="F124" s="27">
        <v>4500.0</v>
      </c>
      <c r="G124" s="28"/>
    </row>
    <row r="125" ht="22.5" customHeight="1">
      <c r="A125" s="14" t="b">
        <v>1</v>
      </c>
      <c r="B125" s="15">
        <v>121.0</v>
      </c>
      <c r="C125" s="16" t="s">
        <v>379</v>
      </c>
      <c r="D125" s="32" t="s">
        <v>380</v>
      </c>
      <c r="E125" s="18" t="s">
        <v>381</v>
      </c>
      <c r="F125" s="30">
        <v>1000.0</v>
      </c>
      <c r="G125" s="19"/>
    </row>
    <row r="126" ht="22.5" customHeight="1">
      <c r="A126" s="22" t="b">
        <v>0</v>
      </c>
      <c r="B126" s="23">
        <v>122.0</v>
      </c>
      <c r="C126" s="24" t="s">
        <v>382</v>
      </c>
      <c r="D126" s="34" t="s">
        <v>383</v>
      </c>
      <c r="E126" s="26" t="s">
        <v>384</v>
      </c>
      <c r="F126" s="27">
        <v>2000.0</v>
      </c>
      <c r="G126" s="28"/>
    </row>
    <row r="127" ht="22.5" customHeight="1">
      <c r="A127" s="14" t="b">
        <v>1</v>
      </c>
      <c r="B127" s="15">
        <v>123.0</v>
      </c>
      <c r="C127" s="16" t="s">
        <v>385</v>
      </c>
      <c r="D127" s="32" t="s">
        <v>386</v>
      </c>
      <c r="E127" s="18" t="s">
        <v>387</v>
      </c>
      <c r="F127" s="30">
        <v>5000.0</v>
      </c>
      <c r="G127" s="19"/>
    </row>
    <row r="128" ht="22.5" customHeight="1">
      <c r="A128" s="22" t="b">
        <v>1</v>
      </c>
      <c r="B128" s="23">
        <v>124.0</v>
      </c>
      <c r="C128" s="24" t="s">
        <v>388</v>
      </c>
      <c r="D128" s="34" t="s">
        <v>389</v>
      </c>
      <c r="E128" s="26" t="s">
        <v>390</v>
      </c>
      <c r="F128" s="27">
        <v>1200.0</v>
      </c>
      <c r="G128" s="28"/>
    </row>
    <row r="129" ht="22.5" customHeight="1">
      <c r="A129" s="14" t="b">
        <v>1</v>
      </c>
      <c r="B129" s="15">
        <v>125.0</v>
      </c>
      <c r="C129" s="16" t="s">
        <v>391</v>
      </c>
      <c r="D129" s="32" t="s">
        <v>392</v>
      </c>
      <c r="E129" s="18" t="s">
        <v>393</v>
      </c>
      <c r="F129" s="16">
        <v>700.0</v>
      </c>
      <c r="G129" s="19"/>
    </row>
    <row r="130" ht="22.5" customHeight="1">
      <c r="A130" s="22" t="b">
        <v>1</v>
      </c>
      <c r="B130" s="23">
        <v>126.0</v>
      </c>
      <c r="C130" s="24" t="s">
        <v>394</v>
      </c>
      <c r="D130" s="34" t="s">
        <v>395</v>
      </c>
      <c r="E130" s="26" t="s">
        <v>396</v>
      </c>
      <c r="F130" s="27">
        <v>3500.0</v>
      </c>
      <c r="G130" s="28"/>
    </row>
    <row r="131" ht="22.5" customHeight="1">
      <c r="A131" s="14" t="b">
        <v>1</v>
      </c>
      <c r="B131" s="15">
        <v>127.0</v>
      </c>
      <c r="C131" s="16" t="s">
        <v>397</v>
      </c>
      <c r="D131" s="32" t="s">
        <v>398</v>
      </c>
      <c r="E131" s="18" t="s">
        <v>399</v>
      </c>
      <c r="F131" s="30">
        <v>1500.0</v>
      </c>
      <c r="G131" s="19"/>
    </row>
    <row r="132" ht="22.5" customHeight="1">
      <c r="A132" s="22" t="b">
        <v>1</v>
      </c>
      <c r="B132" s="23">
        <v>128.0</v>
      </c>
      <c r="C132" s="24" t="s">
        <v>400</v>
      </c>
      <c r="D132" s="34" t="s">
        <v>401</v>
      </c>
      <c r="E132" s="26" t="s">
        <v>402</v>
      </c>
      <c r="F132" s="27">
        <v>2200.0</v>
      </c>
      <c r="G132" s="28"/>
    </row>
    <row r="133" ht="22.5" customHeight="1">
      <c r="A133" s="14" t="b">
        <v>1</v>
      </c>
      <c r="B133" s="15">
        <v>129.0</v>
      </c>
      <c r="C133" s="16" t="s">
        <v>403</v>
      </c>
      <c r="D133" s="32" t="s">
        <v>404</v>
      </c>
      <c r="E133" s="18" t="s">
        <v>405</v>
      </c>
      <c r="F133" s="16">
        <v>300.0</v>
      </c>
      <c r="G133" s="19"/>
    </row>
    <row r="134" ht="22.5" customHeight="1">
      <c r="A134" s="22" t="b">
        <v>1</v>
      </c>
      <c r="B134" s="23">
        <v>130.0</v>
      </c>
      <c r="C134" s="24" t="s">
        <v>406</v>
      </c>
      <c r="D134" s="34" t="s">
        <v>407</v>
      </c>
      <c r="E134" s="26" t="s">
        <v>408</v>
      </c>
      <c r="F134" s="27">
        <v>1000.0</v>
      </c>
      <c r="G134" s="28"/>
    </row>
    <row r="135" ht="22.5" customHeight="1">
      <c r="A135" s="14" t="b">
        <v>1</v>
      </c>
      <c r="B135" s="15">
        <v>131.0</v>
      </c>
      <c r="C135" s="16" t="s">
        <v>409</v>
      </c>
      <c r="D135" s="32" t="s">
        <v>410</v>
      </c>
      <c r="E135" s="18" t="s">
        <v>411</v>
      </c>
      <c r="F135" s="30">
        <v>2500.0</v>
      </c>
      <c r="G135" s="19"/>
    </row>
    <row r="136" ht="22.5" customHeight="1">
      <c r="A136" s="22" t="b">
        <v>1</v>
      </c>
      <c r="B136" s="23">
        <v>132.0</v>
      </c>
      <c r="C136" s="24" t="s">
        <v>412</v>
      </c>
      <c r="D136" s="34" t="s">
        <v>413</v>
      </c>
      <c r="E136" s="26" t="s">
        <v>414</v>
      </c>
      <c r="F136" s="27">
        <v>1800.0</v>
      </c>
      <c r="G136" s="28"/>
    </row>
    <row r="137" ht="22.5" customHeight="1">
      <c r="A137" s="14" t="b">
        <v>1</v>
      </c>
      <c r="B137" s="15">
        <v>133.0</v>
      </c>
      <c r="C137" s="16" t="s">
        <v>415</v>
      </c>
      <c r="D137" s="32" t="s">
        <v>416</v>
      </c>
      <c r="E137" s="18" t="s">
        <v>417</v>
      </c>
      <c r="F137" s="16">
        <v>600.0</v>
      </c>
      <c r="G137" s="19"/>
    </row>
    <row r="138" ht="22.5" customHeight="1">
      <c r="A138" s="22" t="b">
        <v>1</v>
      </c>
      <c r="B138" s="23">
        <v>134.0</v>
      </c>
      <c r="C138" s="24" t="s">
        <v>418</v>
      </c>
      <c r="D138" s="34" t="s">
        <v>419</v>
      </c>
      <c r="E138" s="26" t="s">
        <v>420</v>
      </c>
      <c r="F138" s="27">
        <v>4000.0</v>
      </c>
      <c r="G138" s="28"/>
    </row>
    <row r="139" ht="22.5" customHeight="1">
      <c r="A139" s="14" t="b">
        <v>0</v>
      </c>
      <c r="B139" s="15">
        <v>135.0</v>
      </c>
      <c r="C139" s="16" t="s">
        <v>421</v>
      </c>
      <c r="D139" s="32" t="s">
        <v>422</v>
      </c>
      <c r="E139" s="18" t="s">
        <v>423</v>
      </c>
      <c r="F139" s="30">
        <v>1000.0</v>
      </c>
      <c r="G139" s="19"/>
    </row>
    <row r="140" ht="22.5" customHeight="1">
      <c r="A140" s="22" t="b">
        <v>1</v>
      </c>
      <c r="B140" s="23">
        <v>136.0</v>
      </c>
      <c r="C140" s="24" t="s">
        <v>424</v>
      </c>
      <c r="D140" s="34" t="s">
        <v>425</v>
      </c>
      <c r="E140" s="26" t="s">
        <v>426</v>
      </c>
      <c r="F140" s="27">
        <v>2000.0</v>
      </c>
      <c r="G140" s="28"/>
    </row>
    <row r="141" ht="22.5" customHeight="1">
      <c r="A141" s="14" t="b">
        <v>0</v>
      </c>
      <c r="B141" s="15">
        <v>137.0</v>
      </c>
      <c r="C141" s="16" t="s">
        <v>427</v>
      </c>
      <c r="D141" s="32" t="s">
        <v>428</v>
      </c>
      <c r="E141" s="18" t="s">
        <v>429</v>
      </c>
      <c r="F141" s="30">
        <v>5000.0</v>
      </c>
      <c r="G141" s="19"/>
    </row>
    <row r="142" ht="22.5" customHeight="1">
      <c r="A142" s="22" t="b">
        <v>1</v>
      </c>
      <c r="B142" s="23">
        <v>138.0</v>
      </c>
      <c r="C142" s="24" t="s">
        <v>430</v>
      </c>
      <c r="D142" s="34" t="s">
        <v>431</v>
      </c>
      <c r="E142" s="26" t="s">
        <v>432</v>
      </c>
      <c r="F142" s="24">
        <v>500.0</v>
      </c>
      <c r="G142" s="28"/>
    </row>
    <row r="143" ht="22.5" customHeight="1">
      <c r="A143" s="14" t="b">
        <v>0</v>
      </c>
      <c r="B143" s="15">
        <v>139.0</v>
      </c>
      <c r="C143" s="16" t="s">
        <v>433</v>
      </c>
      <c r="D143" s="32" t="s">
        <v>434</v>
      </c>
      <c r="E143" s="18" t="s">
        <v>435</v>
      </c>
      <c r="F143" s="30">
        <v>1500.0</v>
      </c>
      <c r="G143" s="19"/>
    </row>
    <row r="144" ht="22.5" customHeight="1">
      <c r="A144" s="22" t="b">
        <v>1</v>
      </c>
      <c r="B144" s="23">
        <v>140.0</v>
      </c>
      <c r="C144" s="24" t="s">
        <v>436</v>
      </c>
      <c r="D144" s="34" t="s">
        <v>437</v>
      </c>
      <c r="E144" s="26" t="s">
        <v>438</v>
      </c>
      <c r="F144" s="27">
        <v>3000.0</v>
      </c>
      <c r="G144" s="28"/>
    </row>
    <row r="145" ht="22.5" customHeight="1">
      <c r="A145" s="14" t="b">
        <v>1</v>
      </c>
      <c r="B145" s="15">
        <v>141.0</v>
      </c>
      <c r="C145" s="16" t="s">
        <v>439</v>
      </c>
      <c r="D145" s="32" t="s">
        <v>440</v>
      </c>
      <c r="E145" s="18" t="s">
        <v>441</v>
      </c>
      <c r="F145" s="30">
        <v>1200.0</v>
      </c>
      <c r="G145" s="19"/>
    </row>
    <row r="146" ht="22.5" customHeight="1">
      <c r="A146" s="22" t="b">
        <v>0</v>
      </c>
      <c r="B146" s="23">
        <v>142.0</v>
      </c>
      <c r="C146" s="24" t="s">
        <v>442</v>
      </c>
      <c r="D146" s="34" t="s">
        <v>443</v>
      </c>
      <c r="E146" s="26" t="s">
        <v>444</v>
      </c>
      <c r="F146" s="24">
        <v>900.0</v>
      </c>
      <c r="G146" s="28"/>
    </row>
    <row r="147" ht="22.5" customHeight="1">
      <c r="A147" s="14" t="b">
        <v>0</v>
      </c>
      <c r="B147" s="15">
        <v>143.0</v>
      </c>
      <c r="C147" s="16" t="s">
        <v>445</v>
      </c>
      <c r="D147" s="32" t="s">
        <v>446</v>
      </c>
      <c r="E147" s="18" t="s">
        <v>447</v>
      </c>
      <c r="F147" s="30">
        <v>2500.0</v>
      </c>
      <c r="G147" s="19"/>
    </row>
    <row r="148" ht="22.5" customHeight="1">
      <c r="A148" s="22" t="b">
        <v>0</v>
      </c>
      <c r="B148" s="23">
        <v>144.0</v>
      </c>
      <c r="C148" s="24" t="s">
        <v>448</v>
      </c>
      <c r="D148" s="34" t="s">
        <v>449</v>
      </c>
      <c r="E148" s="26" t="s">
        <v>450</v>
      </c>
      <c r="F148" s="24">
        <v>200.0</v>
      </c>
      <c r="G148" s="28"/>
    </row>
    <row r="149" ht="22.5" customHeight="1">
      <c r="A149" s="14" t="b">
        <v>1</v>
      </c>
      <c r="B149" s="15">
        <v>145.0</v>
      </c>
      <c r="C149" s="16" t="s">
        <v>451</v>
      </c>
      <c r="D149" s="32" t="s">
        <v>452</v>
      </c>
      <c r="E149" s="18" t="s">
        <v>453</v>
      </c>
      <c r="F149" s="30">
        <v>1000.0</v>
      </c>
      <c r="G149" s="19"/>
    </row>
    <row r="150" ht="22.5" customHeight="1">
      <c r="A150" s="22" t="b">
        <v>1</v>
      </c>
      <c r="B150" s="23">
        <v>146.0</v>
      </c>
      <c r="C150" s="24" t="s">
        <v>454</v>
      </c>
      <c r="D150" s="34" t="s">
        <v>455</v>
      </c>
      <c r="E150" s="26" t="s">
        <v>456</v>
      </c>
      <c r="F150" s="27">
        <v>4500.0</v>
      </c>
      <c r="G150" s="28"/>
    </row>
    <row r="151" ht="22.5" customHeight="1">
      <c r="A151" s="14" t="b">
        <v>1</v>
      </c>
      <c r="B151" s="15">
        <v>147.0</v>
      </c>
      <c r="C151" s="16" t="s">
        <v>457</v>
      </c>
      <c r="D151" s="32" t="s">
        <v>458</v>
      </c>
      <c r="E151" s="18" t="s">
        <v>459</v>
      </c>
      <c r="F151" s="30">
        <v>2000.0</v>
      </c>
      <c r="G151" s="19"/>
    </row>
    <row r="152" ht="22.5" customHeight="1">
      <c r="A152" s="22" t="b">
        <v>0</v>
      </c>
      <c r="B152" s="23">
        <v>148.0</v>
      </c>
      <c r="C152" s="24" t="s">
        <v>460</v>
      </c>
      <c r="D152" s="34" t="s">
        <v>461</v>
      </c>
      <c r="E152" s="26" t="s">
        <v>462</v>
      </c>
      <c r="F152" s="27">
        <v>5000.0</v>
      </c>
      <c r="G152" s="28"/>
    </row>
    <row r="153" ht="22.5" customHeight="1">
      <c r="A153" s="14" t="b">
        <v>0</v>
      </c>
      <c r="B153" s="15">
        <v>149.0</v>
      </c>
      <c r="C153" s="16" t="s">
        <v>463</v>
      </c>
      <c r="D153" s="32" t="s">
        <v>464</v>
      </c>
      <c r="E153" s="18" t="s">
        <v>465</v>
      </c>
      <c r="F153" s="16">
        <v>700.0</v>
      </c>
      <c r="G153" s="19"/>
    </row>
    <row r="154" ht="22.5" customHeight="1">
      <c r="A154" s="22" t="b">
        <v>1</v>
      </c>
      <c r="B154" s="23">
        <v>150.0</v>
      </c>
      <c r="C154" s="24" t="s">
        <v>466</v>
      </c>
      <c r="D154" s="34" t="s">
        <v>467</v>
      </c>
      <c r="E154" s="26" t="s">
        <v>468</v>
      </c>
      <c r="F154" s="27">
        <v>1500.0</v>
      </c>
      <c r="G154" s="28"/>
    </row>
    <row r="155" ht="22.5" customHeight="1">
      <c r="A155" s="14" t="b">
        <v>1</v>
      </c>
      <c r="B155" s="15">
        <v>151.0</v>
      </c>
      <c r="C155" s="16" t="s">
        <v>469</v>
      </c>
      <c r="D155" s="32" t="s">
        <v>470</v>
      </c>
      <c r="E155" s="18" t="s">
        <v>471</v>
      </c>
      <c r="F155" s="30">
        <v>3500.0</v>
      </c>
      <c r="G155" s="19"/>
    </row>
    <row r="156" ht="22.5" customHeight="1">
      <c r="A156" s="22" t="b">
        <v>1</v>
      </c>
      <c r="B156" s="23">
        <v>152.0</v>
      </c>
      <c r="C156" s="24" t="s">
        <v>472</v>
      </c>
      <c r="D156" s="34" t="s">
        <v>473</v>
      </c>
      <c r="E156" s="26" t="s">
        <v>474</v>
      </c>
      <c r="F156" s="27">
        <v>1000.0</v>
      </c>
      <c r="G156" s="28"/>
    </row>
    <row r="157" ht="22.5" customHeight="1">
      <c r="A157" s="14" t="b">
        <v>1</v>
      </c>
      <c r="B157" s="15">
        <v>153.0</v>
      </c>
      <c r="C157" s="16" t="s">
        <v>475</v>
      </c>
      <c r="D157" s="32" t="s">
        <v>476</v>
      </c>
      <c r="E157" s="18" t="s">
        <v>477</v>
      </c>
      <c r="F157" s="16">
        <v>800.0</v>
      </c>
      <c r="G157" s="19"/>
    </row>
    <row r="158" ht="22.5" customHeight="1">
      <c r="A158" s="22" t="b">
        <v>0</v>
      </c>
      <c r="B158" s="23">
        <v>154.0</v>
      </c>
      <c r="C158" s="24" t="s">
        <v>478</v>
      </c>
      <c r="D158" s="34" t="s">
        <v>479</v>
      </c>
      <c r="E158" s="26" t="s">
        <v>480</v>
      </c>
      <c r="F158" s="27">
        <v>2200.0</v>
      </c>
      <c r="G158" s="28"/>
    </row>
    <row r="159" ht="22.5" customHeight="1">
      <c r="A159" s="14" t="b">
        <v>1</v>
      </c>
      <c r="B159" s="15">
        <v>155.0</v>
      </c>
      <c r="C159" s="16" t="s">
        <v>481</v>
      </c>
      <c r="D159" s="32" t="s">
        <v>482</v>
      </c>
      <c r="E159" s="18" t="s">
        <v>483</v>
      </c>
      <c r="F159" s="30">
        <v>1200.0</v>
      </c>
      <c r="G159" s="19"/>
    </row>
    <row r="160" ht="22.5" customHeight="1">
      <c r="A160" s="22" t="b">
        <v>1</v>
      </c>
      <c r="B160" s="23">
        <v>156.0</v>
      </c>
      <c r="C160" s="24" t="s">
        <v>484</v>
      </c>
      <c r="D160" s="34" t="s">
        <v>485</v>
      </c>
      <c r="E160" s="26" t="s">
        <v>486</v>
      </c>
      <c r="F160" s="27">
        <v>4000.0</v>
      </c>
      <c r="G160" s="28"/>
    </row>
    <row r="161" ht="22.5" customHeight="1">
      <c r="A161" s="14" t="b">
        <v>0</v>
      </c>
      <c r="B161" s="15">
        <v>157.0</v>
      </c>
      <c r="C161" s="16" t="s">
        <v>487</v>
      </c>
      <c r="D161" s="32" t="s">
        <v>488</v>
      </c>
      <c r="E161" s="18" t="s">
        <v>489</v>
      </c>
      <c r="F161" s="16">
        <v>500.0</v>
      </c>
      <c r="G161" s="19"/>
    </row>
    <row r="162" ht="22.5" customHeight="1">
      <c r="A162" s="22" t="b">
        <v>1</v>
      </c>
      <c r="B162" s="23">
        <v>158.0</v>
      </c>
      <c r="C162" s="24" t="s">
        <v>490</v>
      </c>
      <c r="D162" s="34" t="s">
        <v>491</v>
      </c>
      <c r="E162" s="26" t="s">
        <v>492</v>
      </c>
      <c r="F162" s="27">
        <v>2500.0</v>
      </c>
      <c r="G162" s="28"/>
    </row>
    <row r="163" ht="22.5" customHeight="1">
      <c r="A163" s="14" t="b">
        <v>1</v>
      </c>
      <c r="B163" s="15">
        <v>159.0</v>
      </c>
      <c r="C163" s="16" t="s">
        <v>493</v>
      </c>
      <c r="D163" s="32" t="s">
        <v>494</v>
      </c>
      <c r="E163" s="18" t="s">
        <v>495</v>
      </c>
      <c r="F163" s="30">
        <v>5000.0</v>
      </c>
      <c r="G163" s="19"/>
    </row>
    <row r="164" ht="22.5" customHeight="1">
      <c r="A164" s="22" t="b">
        <v>1</v>
      </c>
      <c r="B164" s="23">
        <v>160.0</v>
      </c>
      <c r="C164" s="24" t="s">
        <v>496</v>
      </c>
      <c r="D164" s="34" t="s">
        <v>497</v>
      </c>
      <c r="E164" s="26" t="s">
        <v>498</v>
      </c>
      <c r="F164" s="27">
        <v>1000.0</v>
      </c>
      <c r="G164" s="28"/>
    </row>
    <row r="165" ht="22.5" customHeight="1">
      <c r="A165" s="14" t="b">
        <v>0</v>
      </c>
      <c r="B165" s="15">
        <v>161.0</v>
      </c>
      <c r="C165" s="16" t="s">
        <v>499</v>
      </c>
      <c r="D165" s="32" t="s">
        <v>500</v>
      </c>
      <c r="E165" s="18" t="s">
        <v>501</v>
      </c>
      <c r="F165" s="30">
        <v>1500.0</v>
      </c>
      <c r="G165" s="19"/>
    </row>
    <row r="166" ht="22.5" customHeight="1">
      <c r="A166" s="22" t="b">
        <v>1</v>
      </c>
      <c r="B166" s="23">
        <v>162.0</v>
      </c>
      <c r="C166" s="24" t="s">
        <v>502</v>
      </c>
      <c r="D166" s="34" t="s">
        <v>503</v>
      </c>
      <c r="E166" s="26" t="s">
        <v>504</v>
      </c>
      <c r="F166" s="27">
        <v>3000.0</v>
      </c>
      <c r="G166" s="28"/>
    </row>
    <row r="167" ht="22.5" customHeight="1">
      <c r="A167" s="14" t="b">
        <v>1</v>
      </c>
      <c r="B167" s="15">
        <v>163.0</v>
      </c>
      <c r="C167" s="16" t="s">
        <v>505</v>
      </c>
      <c r="D167" s="32" t="s">
        <v>506</v>
      </c>
      <c r="E167" s="18" t="s">
        <v>507</v>
      </c>
      <c r="F167" s="16">
        <v>600.0</v>
      </c>
      <c r="G167" s="19"/>
    </row>
    <row r="168" ht="22.5" customHeight="1">
      <c r="A168" s="22" t="b">
        <v>1</v>
      </c>
      <c r="B168" s="23">
        <v>164.0</v>
      </c>
      <c r="C168" s="24" t="s">
        <v>508</v>
      </c>
      <c r="D168" s="34" t="s">
        <v>509</v>
      </c>
      <c r="E168" s="26" t="s">
        <v>510</v>
      </c>
      <c r="F168" s="27">
        <v>2000.0</v>
      </c>
      <c r="G168" s="28"/>
    </row>
    <row r="169" ht="22.5" customHeight="1">
      <c r="A169" s="14" t="b">
        <v>1</v>
      </c>
      <c r="B169" s="15">
        <v>165.0</v>
      </c>
      <c r="C169" s="16" t="s">
        <v>511</v>
      </c>
      <c r="D169" s="32" t="s">
        <v>512</v>
      </c>
      <c r="E169" s="18" t="s">
        <v>513</v>
      </c>
      <c r="F169" s="30">
        <v>1200.0</v>
      </c>
      <c r="G169" s="19"/>
    </row>
    <row r="170" ht="22.5" customHeight="1">
      <c r="A170" s="22" t="b">
        <v>1</v>
      </c>
      <c r="B170" s="23">
        <v>166.0</v>
      </c>
      <c r="C170" s="24" t="s">
        <v>514</v>
      </c>
      <c r="D170" s="34" t="s">
        <v>515</v>
      </c>
      <c r="E170" s="26" t="s">
        <v>516</v>
      </c>
      <c r="F170" s="27">
        <v>4500.0</v>
      </c>
      <c r="G170" s="28"/>
    </row>
    <row r="171" ht="22.5" customHeight="1">
      <c r="A171" s="14" t="b">
        <v>1</v>
      </c>
      <c r="B171" s="15">
        <v>167.0</v>
      </c>
      <c r="C171" s="16" t="s">
        <v>517</v>
      </c>
      <c r="D171" s="32" t="s">
        <v>518</v>
      </c>
      <c r="E171" s="18" t="s">
        <v>519</v>
      </c>
      <c r="F171" s="16">
        <v>300.0</v>
      </c>
      <c r="G171" s="19"/>
    </row>
    <row r="172" ht="22.5" customHeight="1">
      <c r="A172" s="22" t="b">
        <v>0</v>
      </c>
      <c r="B172" s="23">
        <v>168.0</v>
      </c>
      <c r="C172" s="24" t="s">
        <v>520</v>
      </c>
      <c r="D172" s="34" t="s">
        <v>521</v>
      </c>
      <c r="E172" s="26" t="s">
        <v>522</v>
      </c>
      <c r="F172" s="27">
        <v>1000.0</v>
      </c>
      <c r="G172" s="28"/>
    </row>
    <row r="173" ht="22.5" customHeight="1">
      <c r="A173" s="14" t="b">
        <v>1</v>
      </c>
      <c r="B173" s="15">
        <v>169.0</v>
      </c>
      <c r="C173" s="16" t="s">
        <v>523</v>
      </c>
      <c r="D173" s="32" t="s">
        <v>524</v>
      </c>
      <c r="E173" s="18" t="s">
        <v>525</v>
      </c>
      <c r="F173" s="30">
        <v>2500.0</v>
      </c>
      <c r="G173" s="19"/>
    </row>
    <row r="174" ht="22.5" customHeight="1">
      <c r="A174" s="22" t="b">
        <v>0</v>
      </c>
      <c r="B174" s="23">
        <v>170.0</v>
      </c>
      <c r="C174" s="24" t="s">
        <v>526</v>
      </c>
      <c r="D174" s="34" t="s">
        <v>527</v>
      </c>
      <c r="E174" s="26" t="s">
        <v>528</v>
      </c>
      <c r="F174" s="27">
        <v>5000.0</v>
      </c>
      <c r="G174" s="28"/>
    </row>
    <row r="175" ht="22.5" customHeight="1">
      <c r="A175" s="14" t="b">
        <v>1</v>
      </c>
      <c r="B175" s="15">
        <v>171.0</v>
      </c>
      <c r="C175" s="16" t="s">
        <v>529</v>
      </c>
      <c r="D175" s="32" t="s">
        <v>530</v>
      </c>
      <c r="E175" s="18" t="s">
        <v>531</v>
      </c>
      <c r="F175" s="30">
        <v>1500.0</v>
      </c>
      <c r="G175" s="19"/>
    </row>
    <row r="176" ht="22.5" customHeight="1">
      <c r="A176" s="22" t="b">
        <v>1</v>
      </c>
      <c r="B176" s="23">
        <v>172.0</v>
      </c>
      <c r="C176" s="24" t="s">
        <v>532</v>
      </c>
      <c r="D176" s="34" t="s">
        <v>533</v>
      </c>
      <c r="E176" s="26" t="s">
        <v>534</v>
      </c>
      <c r="F176" s="27">
        <v>2000.0</v>
      </c>
      <c r="G176" s="28"/>
    </row>
    <row r="177" ht="22.5" customHeight="1">
      <c r="A177" s="14" t="b">
        <v>1</v>
      </c>
      <c r="B177" s="15">
        <v>173.0</v>
      </c>
      <c r="C177" s="16" t="s">
        <v>535</v>
      </c>
      <c r="D177" s="32" t="s">
        <v>536</v>
      </c>
      <c r="E177" s="18" t="s">
        <v>537</v>
      </c>
      <c r="F177" s="16">
        <v>700.0</v>
      </c>
      <c r="G177" s="19"/>
    </row>
    <row r="178" ht="22.5" customHeight="1">
      <c r="A178" s="22" t="b">
        <v>0</v>
      </c>
      <c r="B178" s="23">
        <v>174.0</v>
      </c>
      <c r="C178" s="24" t="s">
        <v>538</v>
      </c>
      <c r="D178" s="34" t="s">
        <v>539</v>
      </c>
      <c r="E178" s="26" t="s">
        <v>540</v>
      </c>
      <c r="F178" s="27">
        <v>3500.0</v>
      </c>
      <c r="G178" s="28"/>
    </row>
    <row r="179" ht="22.5" customHeight="1">
      <c r="A179" s="14" t="b">
        <v>1</v>
      </c>
      <c r="B179" s="15">
        <v>175.0</v>
      </c>
      <c r="C179" s="16" t="s">
        <v>541</v>
      </c>
      <c r="D179" s="32" t="s">
        <v>542</v>
      </c>
      <c r="E179" s="18" t="s">
        <v>543</v>
      </c>
      <c r="F179" s="30">
        <v>1000.0</v>
      </c>
      <c r="G179" s="19"/>
    </row>
    <row r="180" ht="22.5" customHeight="1">
      <c r="A180" s="22" t="b">
        <v>0</v>
      </c>
      <c r="B180" s="23">
        <v>176.0</v>
      </c>
      <c r="C180" s="24" t="s">
        <v>544</v>
      </c>
      <c r="D180" s="34" t="s">
        <v>545</v>
      </c>
      <c r="E180" s="26" t="s">
        <v>546</v>
      </c>
      <c r="F180" s="27">
        <v>2200.0</v>
      </c>
      <c r="G180" s="28"/>
    </row>
    <row r="181" ht="22.5" customHeight="1">
      <c r="A181" s="14" t="b">
        <v>1</v>
      </c>
      <c r="B181" s="15">
        <v>177.0</v>
      </c>
      <c r="C181" s="16" t="s">
        <v>547</v>
      </c>
      <c r="D181" s="32" t="s">
        <v>548</v>
      </c>
      <c r="E181" s="18" t="s">
        <v>549</v>
      </c>
      <c r="F181" s="16">
        <v>400.0</v>
      </c>
      <c r="G181" s="19"/>
    </row>
    <row r="182" ht="22.5" customHeight="1">
      <c r="A182" s="22" t="b">
        <v>0</v>
      </c>
      <c r="B182" s="23">
        <v>178.0</v>
      </c>
      <c r="C182" s="24" t="s">
        <v>550</v>
      </c>
      <c r="D182" s="34" t="s">
        <v>551</v>
      </c>
      <c r="E182" s="26" t="s">
        <v>552</v>
      </c>
      <c r="F182" s="27">
        <v>1200.0</v>
      </c>
      <c r="G182" s="28"/>
    </row>
    <row r="183" ht="22.5" customHeight="1">
      <c r="A183" s="14" t="b">
        <v>1</v>
      </c>
      <c r="B183" s="15">
        <v>179.0</v>
      </c>
      <c r="C183" s="16" t="s">
        <v>553</v>
      </c>
      <c r="D183" s="32" t="s">
        <v>554</v>
      </c>
      <c r="E183" s="18" t="s">
        <v>555</v>
      </c>
      <c r="F183" s="30">
        <v>4000.0</v>
      </c>
      <c r="G183" s="19"/>
    </row>
    <row r="184" ht="22.5" customHeight="1">
      <c r="A184" s="22" t="b">
        <v>1</v>
      </c>
      <c r="B184" s="23">
        <v>180.0</v>
      </c>
      <c r="C184" s="24" t="s">
        <v>556</v>
      </c>
      <c r="D184" s="34" t="s">
        <v>557</v>
      </c>
      <c r="E184" s="26" t="s">
        <v>558</v>
      </c>
      <c r="F184" s="27">
        <v>1500.0</v>
      </c>
      <c r="G184" s="28"/>
    </row>
    <row r="185" ht="22.5" customHeight="1">
      <c r="A185" s="14" t="b">
        <v>1</v>
      </c>
      <c r="B185" s="15">
        <v>181.0</v>
      </c>
      <c r="C185" s="16" t="s">
        <v>559</v>
      </c>
      <c r="D185" s="32" t="s">
        <v>560</v>
      </c>
      <c r="E185" s="18" t="s">
        <v>561</v>
      </c>
      <c r="F185" s="30">
        <v>2500.0</v>
      </c>
      <c r="G185" s="19"/>
    </row>
    <row r="186" ht="22.5" customHeight="1">
      <c r="A186" s="22" t="b">
        <v>1</v>
      </c>
      <c r="B186" s="23">
        <v>182.0</v>
      </c>
      <c r="C186" s="24" t="s">
        <v>562</v>
      </c>
      <c r="D186" s="34" t="s">
        <v>563</v>
      </c>
      <c r="E186" s="26" t="s">
        <v>564</v>
      </c>
      <c r="F186" s="27">
        <v>5000.0</v>
      </c>
      <c r="G186" s="28"/>
    </row>
    <row r="187" ht="22.5" customHeight="1">
      <c r="A187" s="14" t="b">
        <v>1</v>
      </c>
      <c r="B187" s="15">
        <v>183.0</v>
      </c>
      <c r="C187" s="16" t="s">
        <v>565</v>
      </c>
      <c r="D187" s="32" t="s">
        <v>566</v>
      </c>
      <c r="E187" s="18" t="s">
        <v>567</v>
      </c>
      <c r="F187" s="16">
        <v>800.0</v>
      </c>
      <c r="G187" s="19"/>
    </row>
    <row r="188" ht="22.5" customHeight="1">
      <c r="A188" s="22" t="b">
        <v>1</v>
      </c>
      <c r="B188" s="23">
        <v>184.0</v>
      </c>
      <c r="C188" s="24" t="s">
        <v>568</v>
      </c>
      <c r="D188" s="34" t="s">
        <v>569</v>
      </c>
      <c r="E188" s="26" t="s">
        <v>570</v>
      </c>
      <c r="F188" s="27">
        <v>1000.0</v>
      </c>
      <c r="G188" s="28"/>
    </row>
    <row r="189" ht="22.5" customHeight="1">
      <c r="A189" s="14" t="b">
        <v>1</v>
      </c>
      <c r="B189" s="15">
        <v>185.0</v>
      </c>
      <c r="C189" s="16" t="s">
        <v>571</v>
      </c>
      <c r="D189" s="32" t="s">
        <v>572</v>
      </c>
      <c r="E189" s="18" t="s">
        <v>573</v>
      </c>
      <c r="F189" s="30">
        <v>3000.0</v>
      </c>
      <c r="G189" s="19"/>
    </row>
    <row r="190" ht="22.5" customHeight="1">
      <c r="A190" s="22" t="b">
        <v>1</v>
      </c>
      <c r="B190" s="23">
        <v>186.0</v>
      </c>
      <c r="C190" s="24" t="s">
        <v>574</v>
      </c>
      <c r="D190" s="34" t="s">
        <v>575</v>
      </c>
      <c r="E190" s="26" t="s">
        <v>576</v>
      </c>
      <c r="F190" s="27">
        <v>1200.0</v>
      </c>
      <c r="G190" s="28"/>
    </row>
    <row r="191" ht="22.5" customHeight="1">
      <c r="A191" s="14" t="b">
        <v>1</v>
      </c>
      <c r="B191" s="15">
        <v>187.0</v>
      </c>
      <c r="C191" s="16" t="s">
        <v>577</v>
      </c>
      <c r="D191" s="32" t="s">
        <v>578</v>
      </c>
      <c r="E191" s="18" t="s">
        <v>579</v>
      </c>
      <c r="F191" s="30">
        <v>2000.0</v>
      </c>
      <c r="G191" s="19"/>
    </row>
    <row r="192" ht="22.5" customHeight="1">
      <c r="A192" s="22" t="b">
        <v>1</v>
      </c>
      <c r="B192" s="23">
        <v>188.0</v>
      </c>
      <c r="C192" s="24" t="s">
        <v>580</v>
      </c>
      <c r="D192" s="34" t="s">
        <v>581</v>
      </c>
      <c r="E192" s="26" t="s">
        <v>582</v>
      </c>
      <c r="F192" s="24">
        <v>600.0</v>
      </c>
      <c r="G192" s="28"/>
    </row>
    <row r="193" ht="22.5" customHeight="1">
      <c r="A193" s="14" t="b">
        <v>0</v>
      </c>
      <c r="B193" s="15">
        <v>189.0</v>
      </c>
      <c r="C193" s="16" t="s">
        <v>583</v>
      </c>
      <c r="D193" s="32" t="s">
        <v>584</v>
      </c>
      <c r="E193" s="18" t="s">
        <v>585</v>
      </c>
      <c r="F193" s="30">
        <v>4500.0</v>
      </c>
      <c r="G193" s="19"/>
    </row>
    <row r="194" ht="22.5" customHeight="1">
      <c r="A194" s="22" t="b">
        <v>1</v>
      </c>
      <c r="B194" s="23">
        <v>190.0</v>
      </c>
      <c r="C194" s="24" t="s">
        <v>586</v>
      </c>
      <c r="D194" s="34" t="s">
        <v>587</v>
      </c>
      <c r="E194" s="26" t="s">
        <v>588</v>
      </c>
      <c r="F194" s="27">
        <v>1000.0</v>
      </c>
      <c r="G194" s="28"/>
    </row>
    <row r="195" ht="22.5" customHeight="1">
      <c r="A195" s="14" t="b">
        <v>0</v>
      </c>
      <c r="B195" s="15">
        <v>191.0</v>
      </c>
      <c r="C195" s="16" t="s">
        <v>589</v>
      </c>
      <c r="D195" s="32" t="s">
        <v>590</v>
      </c>
      <c r="E195" s="18" t="s">
        <v>591</v>
      </c>
      <c r="F195" s="30">
        <v>2500.0</v>
      </c>
      <c r="G195" s="19"/>
    </row>
    <row r="196" ht="22.5" customHeight="1">
      <c r="A196" s="22" t="b">
        <v>1</v>
      </c>
      <c r="B196" s="23">
        <v>192.0</v>
      </c>
      <c r="C196" s="24" t="s">
        <v>592</v>
      </c>
      <c r="D196" s="34" t="s">
        <v>593</v>
      </c>
      <c r="E196" s="26" t="s">
        <v>594</v>
      </c>
      <c r="F196" s="27">
        <v>5000.0</v>
      </c>
      <c r="G196" s="28"/>
    </row>
    <row r="197" ht="22.5" customHeight="1">
      <c r="A197" s="14" t="b">
        <v>0</v>
      </c>
      <c r="B197" s="15">
        <v>193.0</v>
      </c>
      <c r="C197" s="16" t="s">
        <v>595</v>
      </c>
      <c r="D197" s="32" t="s">
        <v>596</v>
      </c>
      <c r="E197" s="18" t="s">
        <v>597</v>
      </c>
      <c r="F197" s="30">
        <v>1500.0</v>
      </c>
      <c r="G197" s="19"/>
    </row>
    <row r="198" ht="22.5" customHeight="1">
      <c r="A198" s="22" t="b">
        <v>0</v>
      </c>
      <c r="B198" s="23">
        <v>194.0</v>
      </c>
      <c r="C198" s="24" t="s">
        <v>598</v>
      </c>
      <c r="D198" s="34" t="s">
        <v>599</v>
      </c>
      <c r="E198" s="26" t="s">
        <v>600</v>
      </c>
      <c r="F198" s="24">
        <v>700.0</v>
      </c>
      <c r="G198" s="28"/>
    </row>
    <row r="199" ht="22.5" customHeight="1">
      <c r="A199" s="14" t="b">
        <v>1</v>
      </c>
      <c r="B199" s="15">
        <v>195.0</v>
      </c>
      <c r="C199" s="16" t="s">
        <v>601</v>
      </c>
      <c r="D199" s="32" t="s">
        <v>602</v>
      </c>
      <c r="E199" s="18" t="s">
        <v>603</v>
      </c>
      <c r="F199" s="30">
        <v>3000.0</v>
      </c>
      <c r="G199" s="19"/>
    </row>
    <row r="200" ht="22.5" customHeight="1">
      <c r="A200" s="22" t="b">
        <v>0</v>
      </c>
      <c r="B200" s="23">
        <v>196.0</v>
      </c>
      <c r="C200" s="24" t="s">
        <v>604</v>
      </c>
      <c r="D200" s="34" t="s">
        <v>605</v>
      </c>
      <c r="E200" s="26" t="s">
        <v>606</v>
      </c>
      <c r="F200" s="27">
        <v>1200.0</v>
      </c>
      <c r="G200" s="28"/>
    </row>
    <row r="201" ht="22.5" customHeight="1">
      <c r="A201" s="14" t="b">
        <v>1</v>
      </c>
      <c r="B201" s="15">
        <v>197.0</v>
      </c>
      <c r="C201" s="16" t="s">
        <v>607</v>
      </c>
      <c r="D201" s="32" t="s">
        <v>608</v>
      </c>
      <c r="E201" s="18" t="s">
        <v>609</v>
      </c>
      <c r="F201" s="30">
        <v>2000.0</v>
      </c>
      <c r="G201" s="19"/>
    </row>
    <row r="202" ht="22.5" customHeight="1">
      <c r="A202" s="22" t="b">
        <v>0</v>
      </c>
      <c r="B202" s="23">
        <v>198.0</v>
      </c>
      <c r="C202" s="24" t="s">
        <v>610</v>
      </c>
      <c r="D202" s="34" t="s">
        <v>611</v>
      </c>
      <c r="E202" s="26" t="s">
        <v>612</v>
      </c>
      <c r="F202" s="24">
        <v>900.0</v>
      </c>
      <c r="G202" s="28"/>
    </row>
    <row r="203" ht="22.5" customHeight="1">
      <c r="A203" s="14" t="b">
        <v>0</v>
      </c>
      <c r="B203" s="15">
        <v>199.0</v>
      </c>
      <c r="C203" s="16" t="s">
        <v>613</v>
      </c>
      <c r="D203" s="32" t="s">
        <v>614</v>
      </c>
      <c r="E203" s="18" t="s">
        <v>615</v>
      </c>
      <c r="F203" s="30">
        <v>4000.0</v>
      </c>
      <c r="G203" s="19"/>
    </row>
    <row r="204" ht="22.5" customHeight="1">
      <c r="A204" s="22" t="b">
        <v>1</v>
      </c>
      <c r="B204" s="23">
        <v>200.0</v>
      </c>
      <c r="C204" s="24" t="s">
        <v>616</v>
      </c>
      <c r="D204" s="34" t="s">
        <v>617</v>
      </c>
      <c r="E204" s="26" t="s">
        <v>618</v>
      </c>
      <c r="F204" s="24">
        <v>500.0</v>
      </c>
      <c r="G204" s="28"/>
    </row>
  </sheetData>
  <autoFilter ref="$A$4:$G$145"/>
  <mergeCells count="3">
    <mergeCell ref="A1:J1"/>
    <mergeCell ref="A2:D2"/>
    <mergeCell ref="E2:F2"/>
  </mergeCells>
  <conditionalFormatting sqref="A4:H204 I52:M52">
    <cfRule type="cellIs" dxfId="0" priority="1" operator="equal">
      <formula>"TRUE"</formula>
    </cfRule>
  </conditionalFormatting>
  <conditionalFormatting sqref="A4:H204 I52:M52">
    <cfRule type="cellIs" dxfId="1" priority="2" operator="equal">
      <formula>"FALSE"</formula>
    </cfRule>
  </conditionalFormatting>
  <dataValidations>
    <dataValidation allowBlank="1" showDropDown="1" sqref="E5:E204"/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08"/>
    <hyperlink r:id="rId105" ref="D109"/>
    <hyperlink r:id="rId106" ref="D110"/>
    <hyperlink r:id="rId107" ref="D111"/>
    <hyperlink r:id="rId108" ref="D112"/>
    <hyperlink r:id="rId109" ref="D113"/>
    <hyperlink r:id="rId110" ref="D114"/>
    <hyperlink r:id="rId111" ref="D115"/>
    <hyperlink r:id="rId112" ref="D116"/>
    <hyperlink r:id="rId113" ref="D117"/>
    <hyperlink r:id="rId114" ref="D118"/>
    <hyperlink r:id="rId115" ref="D119"/>
    <hyperlink r:id="rId116" ref="D120"/>
    <hyperlink r:id="rId117" ref="D121"/>
    <hyperlink r:id="rId118" ref="D122"/>
    <hyperlink r:id="rId119" ref="D123"/>
    <hyperlink r:id="rId120" ref="D124"/>
    <hyperlink r:id="rId121" ref="D125"/>
    <hyperlink r:id="rId122" ref="D126"/>
    <hyperlink r:id="rId123" ref="D127"/>
    <hyperlink r:id="rId124" ref="D128"/>
    <hyperlink r:id="rId125" ref="D129"/>
    <hyperlink r:id="rId126" ref="D130"/>
    <hyperlink r:id="rId127" ref="D131"/>
    <hyperlink r:id="rId128" ref="D132"/>
    <hyperlink r:id="rId129" ref="D133"/>
    <hyperlink r:id="rId130" ref="D134"/>
    <hyperlink r:id="rId131" ref="D135"/>
    <hyperlink r:id="rId132" ref="D136"/>
    <hyperlink r:id="rId133" ref="D137"/>
    <hyperlink r:id="rId134" ref="D138"/>
    <hyperlink r:id="rId135" ref="D139"/>
    <hyperlink r:id="rId136" ref="D140"/>
    <hyperlink r:id="rId137" ref="D141"/>
    <hyperlink r:id="rId138" ref="D142"/>
    <hyperlink r:id="rId139" ref="D143"/>
    <hyperlink r:id="rId140" ref="D144"/>
    <hyperlink r:id="rId141" ref="D145"/>
    <hyperlink r:id="rId142" ref="D146"/>
    <hyperlink r:id="rId143" ref="D147"/>
    <hyperlink r:id="rId144" ref="D148"/>
    <hyperlink r:id="rId145" ref="D149"/>
    <hyperlink r:id="rId146" ref="D150"/>
    <hyperlink r:id="rId147" ref="D151"/>
    <hyperlink r:id="rId148" ref="D152"/>
    <hyperlink r:id="rId149" ref="D153"/>
    <hyperlink r:id="rId150" ref="D154"/>
    <hyperlink r:id="rId151" ref="D155"/>
    <hyperlink r:id="rId152" ref="D156"/>
    <hyperlink r:id="rId153" ref="D157"/>
    <hyperlink r:id="rId154" ref="D158"/>
    <hyperlink r:id="rId155" ref="D159"/>
    <hyperlink r:id="rId156" ref="D160"/>
    <hyperlink r:id="rId157" ref="D161"/>
    <hyperlink r:id="rId158" ref="D162"/>
    <hyperlink r:id="rId159" ref="D163"/>
    <hyperlink r:id="rId160" ref="D164"/>
    <hyperlink r:id="rId161" ref="D165"/>
    <hyperlink r:id="rId162" ref="D166"/>
    <hyperlink r:id="rId163" ref="D167"/>
    <hyperlink r:id="rId164" ref="D168"/>
    <hyperlink r:id="rId165" ref="D169"/>
    <hyperlink r:id="rId166" ref="D170"/>
    <hyperlink r:id="rId167" ref="D171"/>
    <hyperlink r:id="rId168" ref="D172"/>
    <hyperlink r:id="rId169" ref="D173"/>
    <hyperlink r:id="rId170" ref="D174"/>
    <hyperlink r:id="rId171" ref="D175"/>
    <hyperlink r:id="rId172" ref="D176"/>
    <hyperlink r:id="rId173" ref="D177"/>
    <hyperlink r:id="rId174" ref="D178"/>
    <hyperlink r:id="rId175" ref="D179"/>
    <hyperlink r:id="rId176" ref="D180"/>
    <hyperlink r:id="rId177" ref="D181"/>
    <hyperlink r:id="rId178" ref="D182"/>
    <hyperlink r:id="rId179" ref="D183"/>
    <hyperlink r:id="rId180" ref="D184"/>
    <hyperlink r:id="rId181" ref="D185"/>
    <hyperlink r:id="rId182" ref="D186"/>
    <hyperlink r:id="rId183" ref="D187"/>
    <hyperlink r:id="rId184" ref="D188"/>
    <hyperlink r:id="rId185" ref="D189"/>
    <hyperlink r:id="rId186" ref="D190"/>
    <hyperlink r:id="rId187" ref="D191"/>
    <hyperlink r:id="rId188" ref="D192"/>
    <hyperlink r:id="rId189" ref="D193"/>
    <hyperlink r:id="rId190" ref="D194"/>
    <hyperlink r:id="rId191" ref="D195"/>
    <hyperlink r:id="rId192" ref="D196"/>
    <hyperlink r:id="rId193" ref="D197"/>
    <hyperlink r:id="rId194" ref="D198"/>
    <hyperlink r:id="rId195" ref="D199"/>
    <hyperlink r:id="rId196" ref="D200"/>
    <hyperlink r:id="rId197" ref="D201"/>
    <hyperlink r:id="rId198" ref="D202"/>
    <hyperlink r:id="rId199" ref="D203"/>
    <hyperlink r:id="rId200" ref="D204"/>
  </hyperlinks>
  <drawing r:id="rId201"/>
  <tableParts count="3">
    <tablePart r:id="rId205"/>
    <tablePart r:id="rId206"/>
    <tablePart r:id="rId20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13.5"/>
    <col customWidth="1" min="3" max="3" width="13.38"/>
    <col customWidth="1" min="4" max="4" width="9.63"/>
    <col customWidth="1" min="5" max="5" width="28.38"/>
    <col customWidth="1" min="6" max="6" width="28.5"/>
    <col customWidth="1" min="7" max="7" width="15.63"/>
    <col customWidth="1" min="8" max="8" width="8.0"/>
    <col customWidth="1" min="9" max="9" width="39.0"/>
    <col customWidth="1" min="10" max="10" width="16.63"/>
    <col customWidth="1" min="11" max="11" width="5.0"/>
    <col customWidth="1" min="12" max="12" width="18.38"/>
    <col customWidth="1" min="13" max="13" width="12.63"/>
  </cols>
  <sheetData>
    <row r="1">
      <c r="A1" s="1" t="s">
        <v>667</v>
      </c>
      <c r="K1" s="2"/>
      <c r="L1" s="2"/>
      <c r="M1" s="2"/>
    </row>
    <row r="2">
      <c r="A2" s="3" t="str">
        <f>CONCATENATE(COUNTIF($A$5:$A$260,TRUE), "/", COUNTA(C5:C2060), " Charity  Collected")</f>
        <v>134/200 Charity  Collected</v>
      </c>
      <c r="E2" s="4" t="s">
        <v>1</v>
      </c>
      <c r="G2" s="5">
        <f>SUMIF(A:A,True,F:F)</f>
        <v>268700</v>
      </c>
      <c r="H2" s="5"/>
      <c r="I2" s="6" t="s">
        <v>2</v>
      </c>
      <c r="J2" s="5">
        <f>Income_Sheet_8[[#TOTALS],[Amount]]-Expense_Sheet_8[[#TOTALS],[Amount]]</f>
        <v>115955</v>
      </c>
      <c r="K2" s="5"/>
      <c r="L2" s="5"/>
      <c r="M2" s="2"/>
    </row>
    <row r="3">
      <c r="A3" s="7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</row>
    <row r="4" ht="22.5" customHeight="1">
      <c r="A4" s="9" t="s">
        <v>3</v>
      </c>
      <c r="B4" s="9" t="s">
        <v>4</v>
      </c>
      <c r="C4" s="10" t="s">
        <v>5</v>
      </c>
      <c r="D4" s="11" t="s">
        <v>6</v>
      </c>
      <c r="E4" s="10" t="s">
        <v>7</v>
      </c>
      <c r="F4" s="10" t="s">
        <v>8</v>
      </c>
      <c r="G4" s="10" t="s">
        <v>9</v>
      </c>
      <c r="I4" s="12" t="s">
        <v>10</v>
      </c>
      <c r="J4" s="12" t="s">
        <v>8</v>
      </c>
      <c r="L4" s="12" t="s">
        <v>11</v>
      </c>
      <c r="M4" s="13" t="s">
        <v>8</v>
      </c>
    </row>
    <row r="5" ht="22.5" customHeight="1">
      <c r="A5" s="14" t="b">
        <v>0</v>
      </c>
      <c r="B5" s="15">
        <v>1.0</v>
      </c>
      <c r="C5" s="16" t="s">
        <v>12</v>
      </c>
      <c r="D5" s="17" t="s">
        <v>13</v>
      </c>
      <c r="E5" s="18" t="s">
        <v>14</v>
      </c>
      <c r="F5" s="16">
        <v>500.0</v>
      </c>
      <c r="G5" s="19"/>
      <c r="I5" s="20" t="s">
        <v>15</v>
      </c>
      <c r="J5" s="21">
        <v>50000.0</v>
      </c>
      <c r="L5" s="20" t="s">
        <v>16</v>
      </c>
      <c r="M5" s="21">
        <f>G2</f>
        <v>268700</v>
      </c>
    </row>
    <row r="6" ht="22.5" customHeight="1">
      <c r="A6" s="22" t="b">
        <v>1</v>
      </c>
      <c r="B6" s="23">
        <v>2.0</v>
      </c>
      <c r="C6" s="24" t="s">
        <v>17</v>
      </c>
      <c r="D6" s="25" t="s">
        <v>18</v>
      </c>
      <c r="E6" s="26" t="s">
        <v>19</v>
      </c>
      <c r="F6" s="27">
        <v>1000.0</v>
      </c>
      <c r="G6" s="28"/>
      <c r="I6" s="29" t="s">
        <v>20</v>
      </c>
      <c r="J6" s="21">
        <f>100000</f>
        <v>100000</v>
      </c>
      <c r="L6" s="20" t="s">
        <v>21</v>
      </c>
      <c r="M6" s="21">
        <v>22255.0</v>
      </c>
    </row>
    <row r="7" ht="22.5" customHeight="1">
      <c r="A7" s="14" t="b">
        <v>1</v>
      </c>
      <c r="B7" s="15">
        <v>3.0</v>
      </c>
      <c r="C7" s="16" t="s">
        <v>22</v>
      </c>
      <c r="D7" s="17" t="s">
        <v>23</v>
      </c>
      <c r="E7" s="18" t="s">
        <v>24</v>
      </c>
      <c r="F7" s="30">
        <v>2000.0</v>
      </c>
      <c r="G7" s="19"/>
      <c r="I7" s="29" t="s">
        <v>25</v>
      </c>
      <c r="J7" s="21">
        <v>25000.0</v>
      </c>
    </row>
    <row r="8" ht="22.5" customHeight="1">
      <c r="A8" s="22" t="b">
        <v>1</v>
      </c>
      <c r="B8" s="23">
        <v>4.0</v>
      </c>
      <c r="C8" s="24" t="s">
        <v>26</v>
      </c>
      <c r="D8" s="25" t="s">
        <v>27</v>
      </c>
      <c r="E8" s="26" t="s">
        <v>28</v>
      </c>
      <c r="F8" s="27">
        <v>5000.0</v>
      </c>
      <c r="G8" s="28"/>
      <c r="L8" s="31"/>
      <c r="M8" s="21"/>
    </row>
    <row r="9" ht="22.5" customHeight="1">
      <c r="A9" s="14" t="b">
        <v>1</v>
      </c>
      <c r="B9" s="15">
        <v>5.0</v>
      </c>
      <c r="C9" s="16" t="s">
        <v>29</v>
      </c>
      <c r="D9" s="32" t="s">
        <v>30</v>
      </c>
      <c r="E9" s="18" t="s">
        <v>31</v>
      </c>
      <c r="F9" s="16">
        <v>300.0</v>
      </c>
      <c r="G9" s="19"/>
      <c r="I9" s="33"/>
      <c r="J9" s="21"/>
      <c r="L9" s="31"/>
      <c r="M9" s="21"/>
    </row>
    <row r="10" ht="22.5" customHeight="1">
      <c r="A10" s="22" t="b">
        <v>1</v>
      </c>
      <c r="B10" s="23">
        <v>6.0</v>
      </c>
      <c r="C10" s="24" t="s">
        <v>32</v>
      </c>
      <c r="D10" s="34" t="s">
        <v>33</v>
      </c>
      <c r="E10" s="26" t="s">
        <v>34</v>
      </c>
      <c r="F10" s="27">
        <v>1500.0</v>
      </c>
      <c r="G10" s="28"/>
      <c r="I10" s="33"/>
      <c r="J10" s="21"/>
      <c r="L10" s="31"/>
      <c r="M10" s="21"/>
    </row>
    <row r="11" ht="22.5" customHeight="1">
      <c r="A11" s="14" t="b">
        <v>0</v>
      </c>
      <c r="B11" s="15">
        <v>7.0</v>
      </c>
      <c r="C11" s="16" t="s">
        <v>35</v>
      </c>
      <c r="D11" s="32" t="s">
        <v>36</v>
      </c>
      <c r="E11" s="18" t="s">
        <v>37</v>
      </c>
      <c r="F11" s="30">
        <v>2500.0</v>
      </c>
      <c r="G11" s="35"/>
      <c r="I11" s="29"/>
      <c r="J11" s="21"/>
      <c r="L11" s="31"/>
      <c r="M11" s="21"/>
    </row>
    <row r="12" ht="22.5" customHeight="1">
      <c r="A12" s="22" t="b">
        <v>0</v>
      </c>
      <c r="B12" s="23">
        <v>8.0</v>
      </c>
      <c r="C12" s="24" t="s">
        <v>38</v>
      </c>
      <c r="D12" s="34" t="s">
        <v>39</v>
      </c>
      <c r="E12" s="26" t="s">
        <v>40</v>
      </c>
      <c r="F12" s="24">
        <v>200.0</v>
      </c>
      <c r="G12" s="28"/>
      <c r="I12" s="29"/>
      <c r="J12" s="21"/>
      <c r="L12" s="31"/>
      <c r="M12" s="21" t="str">
        <f t="shared" ref="M12:M13" si="1">G9</f>
        <v/>
      </c>
    </row>
    <row r="13" ht="22.5" customHeight="1">
      <c r="A13" s="14" t="b">
        <v>1</v>
      </c>
      <c r="B13" s="15">
        <v>9.0</v>
      </c>
      <c r="C13" s="16" t="s">
        <v>41</v>
      </c>
      <c r="D13" s="32" t="s">
        <v>42</v>
      </c>
      <c r="E13" s="18" t="s">
        <v>43</v>
      </c>
      <c r="F13" s="30">
        <v>1000.0</v>
      </c>
      <c r="G13" s="19"/>
      <c r="I13" s="29"/>
      <c r="J13" s="21"/>
      <c r="L13" s="31"/>
      <c r="M13" s="21" t="str">
        <f t="shared" si="1"/>
        <v/>
      </c>
    </row>
    <row r="14" ht="22.5" customHeight="1">
      <c r="A14" s="22" t="b">
        <v>1</v>
      </c>
      <c r="B14" s="23">
        <v>10.0</v>
      </c>
      <c r="C14" s="24" t="s">
        <v>44</v>
      </c>
      <c r="D14" s="34" t="s">
        <v>45</v>
      </c>
      <c r="E14" s="26" t="s">
        <v>46</v>
      </c>
      <c r="F14" s="27">
        <v>3000.0</v>
      </c>
      <c r="G14" s="28"/>
      <c r="I14" s="36" t="s">
        <v>47</v>
      </c>
      <c r="J14" s="37">
        <f>Sum(Expense_Sheet_8[Amount])</f>
        <v>175000</v>
      </c>
      <c r="L14" s="31"/>
      <c r="M14" s="21"/>
    </row>
    <row r="15" ht="26.25" customHeight="1">
      <c r="A15" s="14" t="b">
        <v>1</v>
      </c>
      <c r="B15" s="15">
        <v>11.0</v>
      </c>
      <c r="C15" s="16" t="s">
        <v>48</v>
      </c>
      <c r="D15" s="32" t="s">
        <v>49</v>
      </c>
      <c r="E15" s="18" t="s">
        <v>50</v>
      </c>
      <c r="F15" s="16">
        <v>700.0</v>
      </c>
      <c r="G15" s="19"/>
      <c r="L15" s="36" t="s">
        <v>47</v>
      </c>
      <c r="M15" s="37">
        <f>Sum(Income_Sheet_8[Amount])</f>
        <v>290955</v>
      </c>
    </row>
    <row r="16" ht="26.25" customHeight="1">
      <c r="A16" s="22" t="b">
        <v>0</v>
      </c>
      <c r="B16" s="23">
        <v>12.0</v>
      </c>
      <c r="C16" s="24" t="s">
        <v>51</v>
      </c>
      <c r="D16" s="34" t="s">
        <v>52</v>
      </c>
      <c r="E16" s="26" t="s">
        <v>53</v>
      </c>
      <c r="F16" s="27">
        <v>2000.0</v>
      </c>
      <c r="G16" s="28"/>
    </row>
    <row r="17" ht="26.25" customHeight="1">
      <c r="A17" s="14" t="b">
        <v>1</v>
      </c>
      <c r="B17" s="15">
        <v>13.0</v>
      </c>
      <c r="C17" s="16" t="s">
        <v>54</v>
      </c>
      <c r="D17" s="32" t="s">
        <v>55</v>
      </c>
      <c r="E17" s="18" t="s">
        <v>56</v>
      </c>
      <c r="F17" s="30">
        <v>5000.0</v>
      </c>
      <c r="G17" s="19"/>
    </row>
    <row r="18" ht="26.25" customHeight="1">
      <c r="A18" s="22" t="b">
        <v>1</v>
      </c>
      <c r="B18" s="23">
        <v>14.0</v>
      </c>
      <c r="C18" s="24" t="s">
        <v>57</v>
      </c>
      <c r="D18" s="34" t="s">
        <v>58</v>
      </c>
      <c r="E18" s="26" t="s">
        <v>59</v>
      </c>
      <c r="F18" s="24">
        <v>400.0</v>
      </c>
      <c r="G18" s="28"/>
      <c r="I18" s="38" t="s">
        <v>60</v>
      </c>
      <c r="L18" s="39"/>
      <c r="M18" s="40"/>
    </row>
    <row r="19" ht="26.25" customHeight="1">
      <c r="A19" s="14" t="b">
        <v>1</v>
      </c>
      <c r="B19" s="15">
        <v>15.0</v>
      </c>
      <c r="C19" s="16" t="s">
        <v>61</v>
      </c>
      <c r="D19" s="32" t="s">
        <v>62</v>
      </c>
      <c r="E19" s="18" t="s">
        <v>63</v>
      </c>
      <c r="F19" s="30">
        <v>1200.0</v>
      </c>
      <c r="G19" s="19"/>
    </row>
    <row r="20" ht="26.25" customHeight="1">
      <c r="A20" s="22" t="b">
        <v>1</v>
      </c>
      <c r="B20" s="23">
        <v>16.0</v>
      </c>
      <c r="C20" s="24" t="s">
        <v>64</v>
      </c>
      <c r="D20" s="34" t="s">
        <v>65</v>
      </c>
      <c r="E20" s="26" t="s">
        <v>66</v>
      </c>
      <c r="F20" s="27">
        <v>2500.0</v>
      </c>
      <c r="G20" s="28"/>
    </row>
    <row r="21" ht="26.25" customHeight="1">
      <c r="A21" s="14" t="b">
        <v>1</v>
      </c>
      <c r="B21" s="15">
        <v>17.0</v>
      </c>
      <c r="C21" s="16" t="s">
        <v>67</v>
      </c>
      <c r="D21" s="32" t="s">
        <v>68</v>
      </c>
      <c r="E21" s="18" t="s">
        <v>69</v>
      </c>
      <c r="F21" s="30">
        <v>1000.0</v>
      </c>
      <c r="G21" s="35"/>
    </row>
    <row r="22" ht="26.25" customHeight="1">
      <c r="A22" s="22" t="b">
        <v>1</v>
      </c>
      <c r="B22" s="23">
        <v>18.0</v>
      </c>
      <c r="C22" s="24" t="s">
        <v>70</v>
      </c>
      <c r="D22" s="34" t="s">
        <v>71</v>
      </c>
      <c r="E22" s="26" t="s">
        <v>72</v>
      </c>
      <c r="F22" s="24">
        <v>800.0</v>
      </c>
      <c r="G22" s="28"/>
    </row>
    <row r="23" ht="26.25" customHeight="1">
      <c r="A23" s="14" t="b">
        <v>1</v>
      </c>
      <c r="B23" s="15">
        <v>19.0</v>
      </c>
      <c r="C23" s="16" t="s">
        <v>73</v>
      </c>
      <c r="D23" s="32" t="s">
        <v>74</v>
      </c>
      <c r="E23" s="18" t="s">
        <v>75</v>
      </c>
      <c r="F23" s="30">
        <v>3500.0</v>
      </c>
      <c r="G23" s="19"/>
    </row>
    <row r="24" ht="26.25" customHeight="1">
      <c r="A24" s="22" t="b">
        <v>1</v>
      </c>
      <c r="B24" s="23">
        <v>20.0</v>
      </c>
      <c r="C24" s="24" t="s">
        <v>76</v>
      </c>
      <c r="D24" s="34" t="s">
        <v>77</v>
      </c>
      <c r="E24" s="26" t="s">
        <v>78</v>
      </c>
      <c r="F24" s="24">
        <v>100.0</v>
      </c>
      <c r="G24" s="28"/>
    </row>
    <row r="25" ht="26.25" customHeight="1">
      <c r="A25" s="14" t="b">
        <v>1</v>
      </c>
      <c r="B25" s="15">
        <v>21.0</v>
      </c>
      <c r="C25" s="16" t="s">
        <v>79</v>
      </c>
      <c r="D25" s="32" t="s">
        <v>80</v>
      </c>
      <c r="E25" s="18" t="s">
        <v>81</v>
      </c>
      <c r="F25" s="30">
        <v>1500.0</v>
      </c>
      <c r="G25" s="19"/>
    </row>
    <row r="26" ht="26.25" customHeight="1">
      <c r="A26" s="22" t="b">
        <v>1</v>
      </c>
      <c r="B26" s="23">
        <v>22.0</v>
      </c>
      <c r="C26" s="24" t="s">
        <v>82</v>
      </c>
      <c r="D26" s="34" t="s">
        <v>83</v>
      </c>
      <c r="E26" s="26" t="s">
        <v>84</v>
      </c>
      <c r="F26" s="27">
        <v>2000.0</v>
      </c>
      <c r="G26" s="28"/>
    </row>
    <row r="27" ht="26.25" customHeight="1">
      <c r="A27" s="14" t="b">
        <v>1</v>
      </c>
      <c r="B27" s="15">
        <v>23.0</v>
      </c>
      <c r="C27" s="16" t="s">
        <v>85</v>
      </c>
      <c r="D27" s="32" t="s">
        <v>86</v>
      </c>
      <c r="E27" s="18" t="s">
        <v>87</v>
      </c>
      <c r="F27" s="30">
        <v>5000.0</v>
      </c>
      <c r="G27" s="19"/>
    </row>
    <row r="28" ht="26.25" customHeight="1">
      <c r="A28" s="22" t="b">
        <v>1</v>
      </c>
      <c r="B28" s="23">
        <v>24.0</v>
      </c>
      <c r="C28" s="24" t="s">
        <v>88</v>
      </c>
      <c r="D28" s="34" t="s">
        <v>89</v>
      </c>
      <c r="E28" s="26" t="s">
        <v>90</v>
      </c>
      <c r="F28" s="24">
        <v>600.0</v>
      </c>
      <c r="G28" s="28"/>
    </row>
    <row r="29" ht="26.25" customHeight="1">
      <c r="A29" s="14" t="b">
        <v>0</v>
      </c>
      <c r="B29" s="15">
        <v>25.0</v>
      </c>
      <c r="C29" s="16" t="s">
        <v>91</v>
      </c>
      <c r="D29" s="32" t="s">
        <v>92</v>
      </c>
      <c r="E29" s="18" t="s">
        <v>93</v>
      </c>
      <c r="F29" s="30">
        <v>1000.0</v>
      </c>
      <c r="G29" s="19"/>
    </row>
    <row r="30" ht="26.25" customHeight="1">
      <c r="A30" s="22" t="b">
        <v>1</v>
      </c>
      <c r="B30" s="23">
        <v>26.0</v>
      </c>
      <c r="C30" s="24" t="s">
        <v>94</v>
      </c>
      <c r="D30" s="34" t="s">
        <v>95</v>
      </c>
      <c r="E30" s="26" t="s">
        <v>96</v>
      </c>
      <c r="F30" s="27">
        <v>2200.0</v>
      </c>
      <c r="G30" s="28"/>
    </row>
    <row r="31" ht="26.25" customHeight="1">
      <c r="A31" s="14" t="b">
        <v>0</v>
      </c>
      <c r="B31" s="15">
        <v>27.0</v>
      </c>
      <c r="C31" s="15" t="s">
        <v>97</v>
      </c>
      <c r="D31" s="32" t="s">
        <v>98</v>
      </c>
      <c r="E31" s="18" t="s">
        <v>99</v>
      </c>
      <c r="F31" s="30">
        <v>1500.0</v>
      </c>
      <c r="G31" s="35"/>
    </row>
    <row r="32" ht="26.25" customHeight="1">
      <c r="A32" s="22" t="b">
        <v>1</v>
      </c>
      <c r="B32" s="23">
        <v>28.0</v>
      </c>
      <c r="C32" s="24" t="s">
        <v>100</v>
      </c>
      <c r="D32" s="34" t="s">
        <v>101</v>
      </c>
      <c r="E32" s="26" t="s">
        <v>102</v>
      </c>
      <c r="F32" s="24">
        <v>900.0</v>
      </c>
      <c r="G32" s="28"/>
    </row>
    <row r="33" ht="26.25" customHeight="1">
      <c r="A33" s="14" t="b">
        <v>0</v>
      </c>
      <c r="B33" s="15">
        <v>29.0</v>
      </c>
      <c r="C33" s="16" t="s">
        <v>103</v>
      </c>
      <c r="D33" s="32" t="s">
        <v>104</v>
      </c>
      <c r="E33" s="18" t="s">
        <v>105</v>
      </c>
      <c r="F33" s="30">
        <v>4000.0</v>
      </c>
      <c r="G33" s="35"/>
    </row>
    <row r="34" ht="26.25" customHeight="1">
      <c r="A34" s="22" t="b">
        <v>0</v>
      </c>
      <c r="B34" s="23">
        <v>30.0</v>
      </c>
      <c r="C34" s="24" t="s">
        <v>106</v>
      </c>
      <c r="D34" s="34" t="s">
        <v>107</v>
      </c>
      <c r="E34" s="26" t="s">
        <v>108</v>
      </c>
      <c r="F34" s="27">
        <v>1000.0</v>
      </c>
      <c r="G34" s="28"/>
    </row>
    <row r="35" ht="26.25" customHeight="1">
      <c r="A35" s="14" t="b">
        <v>1</v>
      </c>
      <c r="B35" s="15">
        <v>31.0</v>
      </c>
      <c r="C35" s="16" t="s">
        <v>109</v>
      </c>
      <c r="D35" s="32" t="s">
        <v>110</v>
      </c>
      <c r="E35" s="18" t="s">
        <v>111</v>
      </c>
      <c r="F35" s="30">
        <v>2500.0</v>
      </c>
      <c r="G35" s="19"/>
    </row>
    <row r="36" ht="26.25" customHeight="1">
      <c r="A36" s="22" t="b">
        <v>1</v>
      </c>
      <c r="B36" s="23">
        <v>32.0</v>
      </c>
      <c r="C36" s="24" t="s">
        <v>112</v>
      </c>
      <c r="D36" s="34" t="s">
        <v>113</v>
      </c>
      <c r="E36" s="26" t="s">
        <v>114</v>
      </c>
      <c r="F36" s="27">
        <v>5000.0</v>
      </c>
      <c r="G36" s="28"/>
    </row>
    <row r="37" ht="26.25" customHeight="1">
      <c r="A37" s="14" t="b">
        <v>0</v>
      </c>
      <c r="B37" s="15">
        <v>33.0</v>
      </c>
      <c r="C37" s="16" t="s">
        <v>115</v>
      </c>
      <c r="D37" s="32" t="s">
        <v>116</v>
      </c>
      <c r="E37" s="18" t="s">
        <v>117</v>
      </c>
      <c r="F37" s="16">
        <v>500.0</v>
      </c>
      <c r="G37" s="19"/>
    </row>
    <row r="38" ht="26.25" customHeight="1">
      <c r="A38" s="22" t="b">
        <v>1</v>
      </c>
      <c r="B38" s="23">
        <v>34.0</v>
      </c>
      <c r="C38" s="24" t="s">
        <v>118</v>
      </c>
      <c r="D38" s="34" t="s">
        <v>119</v>
      </c>
      <c r="E38" s="26" t="s">
        <v>120</v>
      </c>
      <c r="F38" s="27">
        <v>1200.0</v>
      </c>
      <c r="G38" s="28"/>
    </row>
    <row r="39" ht="26.25" customHeight="1">
      <c r="A39" s="14" t="b">
        <v>1</v>
      </c>
      <c r="B39" s="15">
        <v>35.0</v>
      </c>
      <c r="C39" s="16" t="s">
        <v>121</v>
      </c>
      <c r="D39" s="32" t="s">
        <v>122</v>
      </c>
      <c r="E39" s="18" t="s">
        <v>123</v>
      </c>
      <c r="F39" s="30">
        <v>3000.0</v>
      </c>
      <c r="G39" s="19"/>
    </row>
    <row r="40" ht="26.25" customHeight="1">
      <c r="A40" s="22" t="b">
        <v>1</v>
      </c>
      <c r="B40" s="23">
        <v>36.0</v>
      </c>
      <c r="C40" s="24" t="s">
        <v>124</v>
      </c>
      <c r="D40" s="34" t="s">
        <v>125</v>
      </c>
      <c r="E40" s="26" t="s">
        <v>126</v>
      </c>
      <c r="F40" s="24">
        <v>200.0</v>
      </c>
      <c r="G40" s="41"/>
    </row>
    <row r="41" ht="26.25" customHeight="1">
      <c r="A41" s="14" t="b">
        <v>1</v>
      </c>
      <c r="B41" s="15">
        <v>37.0</v>
      </c>
      <c r="C41" s="16" t="s">
        <v>127</v>
      </c>
      <c r="D41" s="32" t="s">
        <v>128</v>
      </c>
      <c r="E41" s="18" t="s">
        <v>129</v>
      </c>
      <c r="F41" s="30">
        <v>1000.0</v>
      </c>
      <c r="G41" s="19"/>
    </row>
    <row r="42" ht="26.25" customHeight="1">
      <c r="A42" s="22" t="b">
        <v>0</v>
      </c>
      <c r="B42" s="23">
        <v>38.0</v>
      </c>
      <c r="C42" s="24" t="s">
        <v>130</v>
      </c>
      <c r="D42" s="34" t="s">
        <v>131</v>
      </c>
      <c r="E42" s="26" t="s">
        <v>132</v>
      </c>
      <c r="F42" s="27">
        <v>2000.0</v>
      </c>
      <c r="G42" s="28"/>
    </row>
    <row r="43" ht="26.25" customHeight="1">
      <c r="A43" s="14" t="b">
        <v>1</v>
      </c>
      <c r="B43" s="15">
        <v>39.0</v>
      </c>
      <c r="C43" s="16" t="s">
        <v>133</v>
      </c>
      <c r="D43" s="32" t="s">
        <v>134</v>
      </c>
      <c r="E43" s="18" t="s">
        <v>135</v>
      </c>
      <c r="F43" s="30">
        <v>1800.0</v>
      </c>
      <c r="G43" s="19"/>
    </row>
    <row r="44" ht="26.25" customHeight="1">
      <c r="A44" s="22" t="b">
        <v>1</v>
      </c>
      <c r="B44" s="23">
        <v>40.0</v>
      </c>
      <c r="C44" s="24" t="s">
        <v>136</v>
      </c>
      <c r="D44" s="34" t="s">
        <v>137</v>
      </c>
      <c r="E44" s="26" t="s">
        <v>138</v>
      </c>
      <c r="F44" s="24">
        <v>700.0</v>
      </c>
      <c r="G44" s="41"/>
    </row>
    <row r="45" ht="26.25" customHeight="1">
      <c r="A45" s="14" t="b">
        <v>1</v>
      </c>
      <c r="B45" s="15">
        <v>41.0</v>
      </c>
      <c r="C45" s="16" t="s">
        <v>139</v>
      </c>
      <c r="D45" s="32" t="s">
        <v>140</v>
      </c>
      <c r="E45" s="18" t="s">
        <v>141</v>
      </c>
      <c r="F45" s="30">
        <v>4500.0</v>
      </c>
      <c r="G45" s="19"/>
    </row>
    <row r="46" ht="26.25" customHeight="1">
      <c r="A46" s="22" t="b">
        <v>1</v>
      </c>
      <c r="B46" s="23">
        <v>42.0</v>
      </c>
      <c r="C46" s="24" t="s">
        <v>142</v>
      </c>
      <c r="D46" s="34" t="s">
        <v>143</v>
      </c>
      <c r="E46" s="26" t="s">
        <v>144</v>
      </c>
      <c r="F46" s="27">
        <v>1500.0</v>
      </c>
      <c r="G46" s="41"/>
    </row>
    <row r="47" ht="26.25" customHeight="1">
      <c r="A47" s="14" t="b">
        <v>0</v>
      </c>
      <c r="B47" s="15">
        <v>43.0</v>
      </c>
      <c r="C47" s="16" t="s">
        <v>145</v>
      </c>
      <c r="D47" s="32" t="s">
        <v>146</v>
      </c>
      <c r="E47" s="18" t="s">
        <v>147</v>
      </c>
      <c r="F47" s="30">
        <v>2500.0</v>
      </c>
      <c r="G47" s="19"/>
    </row>
    <row r="48" ht="26.25" customHeight="1">
      <c r="A48" s="22" t="b">
        <v>1</v>
      </c>
      <c r="B48" s="23">
        <v>44.0</v>
      </c>
      <c r="C48" s="24" t="s">
        <v>148</v>
      </c>
      <c r="D48" s="34" t="s">
        <v>149</v>
      </c>
      <c r="E48" s="26" t="s">
        <v>150</v>
      </c>
      <c r="F48" s="27">
        <v>5000.0</v>
      </c>
      <c r="G48" s="28"/>
    </row>
    <row r="49" ht="26.25" customHeight="1">
      <c r="A49" s="14" t="b">
        <v>1</v>
      </c>
      <c r="B49" s="15">
        <v>45.0</v>
      </c>
      <c r="C49" s="16" t="s">
        <v>151</v>
      </c>
      <c r="D49" s="32" t="s">
        <v>152</v>
      </c>
      <c r="E49" s="18" t="s">
        <v>153</v>
      </c>
      <c r="F49" s="16">
        <v>300.0</v>
      </c>
      <c r="G49" s="19"/>
    </row>
    <row r="50" ht="26.25" customHeight="1">
      <c r="A50" s="22" t="b">
        <v>0</v>
      </c>
      <c r="B50" s="23">
        <v>46.0</v>
      </c>
      <c r="C50" s="24" t="s">
        <v>154</v>
      </c>
      <c r="D50" s="34" t="s">
        <v>155</v>
      </c>
      <c r="E50" s="26" t="s">
        <v>156</v>
      </c>
      <c r="F50" s="27">
        <v>1000.0</v>
      </c>
      <c r="G50" s="28"/>
    </row>
    <row r="51" ht="26.25" customHeight="1">
      <c r="A51" s="14" t="b">
        <v>0</v>
      </c>
      <c r="B51" s="15">
        <v>47.0</v>
      </c>
      <c r="C51" s="16" t="s">
        <v>157</v>
      </c>
      <c r="D51" s="32" t="s">
        <v>158</v>
      </c>
      <c r="E51" s="18" t="s">
        <v>159</v>
      </c>
      <c r="F51" s="30">
        <v>3500.0</v>
      </c>
      <c r="G51" s="19"/>
    </row>
    <row r="52" ht="22.5" customHeight="1">
      <c r="A52" s="22" t="b">
        <v>1</v>
      </c>
      <c r="B52" s="23">
        <v>48.0</v>
      </c>
      <c r="C52" s="24" t="s">
        <v>160</v>
      </c>
      <c r="D52" s="34" t="s">
        <v>161</v>
      </c>
      <c r="E52" s="26" t="s">
        <v>162</v>
      </c>
      <c r="F52" s="27">
        <v>1200.0</v>
      </c>
      <c r="G52" s="41"/>
      <c r="H52" s="42"/>
      <c r="I52" s="43"/>
      <c r="J52" s="44"/>
      <c r="K52" s="45"/>
      <c r="L52" s="43"/>
      <c r="M52" s="46"/>
    </row>
    <row r="53" ht="22.5" customHeight="1">
      <c r="A53" s="14" t="b">
        <v>0</v>
      </c>
      <c r="B53" s="15">
        <v>49.0</v>
      </c>
      <c r="C53" s="16" t="s">
        <v>163</v>
      </c>
      <c r="D53" s="32" t="s">
        <v>164</v>
      </c>
      <c r="E53" s="18" t="s">
        <v>165</v>
      </c>
      <c r="F53" s="16">
        <v>600.0</v>
      </c>
      <c r="G53" s="19"/>
    </row>
    <row r="54" ht="22.5" customHeight="1">
      <c r="A54" s="22" t="b">
        <v>1</v>
      </c>
      <c r="B54" s="23">
        <v>50.0</v>
      </c>
      <c r="C54" s="24" t="s">
        <v>166</v>
      </c>
      <c r="D54" s="34" t="s">
        <v>167</v>
      </c>
      <c r="E54" s="26" t="s">
        <v>168</v>
      </c>
      <c r="F54" s="27">
        <v>2000.0</v>
      </c>
      <c r="G54" s="28"/>
    </row>
    <row r="55" ht="22.5" customHeight="1">
      <c r="A55" s="14" t="b">
        <v>0</v>
      </c>
      <c r="B55" s="15">
        <v>51.0</v>
      </c>
      <c r="C55" s="16" t="s">
        <v>169</v>
      </c>
      <c r="D55" s="32" t="s">
        <v>170</v>
      </c>
      <c r="E55" s="18" t="s">
        <v>171</v>
      </c>
      <c r="F55" s="30">
        <v>1000.0</v>
      </c>
      <c r="G55" s="19"/>
    </row>
    <row r="56" ht="22.5" customHeight="1">
      <c r="A56" s="22" t="b">
        <v>1</v>
      </c>
      <c r="B56" s="23">
        <v>52.0</v>
      </c>
      <c r="C56" s="24" t="s">
        <v>172</v>
      </c>
      <c r="D56" s="34" t="s">
        <v>173</v>
      </c>
      <c r="E56" s="26" t="s">
        <v>174</v>
      </c>
      <c r="F56" s="27">
        <v>2800.0</v>
      </c>
      <c r="G56" s="28"/>
    </row>
    <row r="57" ht="22.5" customHeight="1">
      <c r="A57" s="14" t="b">
        <v>1</v>
      </c>
      <c r="B57" s="15">
        <v>53.0</v>
      </c>
      <c r="C57" s="16" t="s">
        <v>175</v>
      </c>
      <c r="D57" s="32" t="s">
        <v>176</v>
      </c>
      <c r="E57" s="18" t="s">
        <v>177</v>
      </c>
      <c r="F57" s="16">
        <v>400.0</v>
      </c>
      <c r="G57" s="19"/>
    </row>
    <row r="58" ht="22.5" customHeight="1">
      <c r="A58" s="22" t="b">
        <v>0</v>
      </c>
      <c r="B58" s="23">
        <v>54.0</v>
      </c>
      <c r="C58" s="24" t="s">
        <v>178</v>
      </c>
      <c r="D58" s="34" t="s">
        <v>179</v>
      </c>
      <c r="E58" s="26" t="s">
        <v>180</v>
      </c>
      <c r="F58" s="27">
        <v>1500.0</v>
      </c>
      <c r="G58" s="28"/>
    </row>
    <row r="59" ht="22.5" customHeight="1">
      <c r="A59" s="14" t="b">
        <v>1</v>
      </c>
      <c r="B59" s="15">
        <v>55.0</v>
      </c>
      <c r="C59" s="16" t="s">
        <v>181</v>
      </c>
      <c r="D59" s="32" t="s">
        <v>182</v>
      </c>
      <c r="E59" s="18" t="s">
        <v>183</v>
      </c>
      <c r="F59" s="30">
        <v>5000.0</v>
      </c>
      <c r="G59" s="19"/>
    </row>
    <row r="60" ht="22.5" customHeight="1">
      <c r="A60" s="22" t="b">
        <v>0</v>
      </c>
      <c r="B60" s="23">
        <v>56.0</v>
      </c>
      <c r="C60" s="24" t="s">
        <v>184</v>
      </c>
      <c r="D60" s="34" t="s">
        <v>185</v>
      </c>
      <c r="E60" s="26" t="s">
        <v>186</v>
      </c>
      <c r="F60" s="24">
        <v>800.0</v>
      </c>
      <c r="G60" s="28"/>
    </row>
    <row r="61" ht="22.5" customHeight="1">
      <c r="A61" s="14" t="b">
        <v>1</v>
      </c>
      <c r="B61" s="15">
        <v>57.0</v>
      </c>
      <c r="C61" s="16" t="s">
        <v>187</v>
      </c>
      <c r="D61" s="32" t="s">
        <v>188</v>
      </c>
      <c r="E61" s="18" t="s">
        <v>189</v>
      </c>
      <c r="F61" s="30">
        <v>2000.0</v>
      </c>
      <c r="G61" s="19"/>
    </row>
    <row r="62" ht="22.5" customHeight="1">
      <c r="A62" s="22" t="b">
        <v>1</v>
      </c>
      <c r="B62" s="23">
        <v>58.0</v>
      </c>
      <c r="C62" s="24" t="s">
        <v>190</v>
      </c>
      <c r="D62" s="34" t="s">
        <v>191</v>
      </c>
      <c r="E62" s="26" t="s">
        <v>192</v>
      </c>
      <c r="F62" s="27">
        <v>3000.0</v>
      </c>
      <c r="G62" s="28"/>
    </row>
    <row r="63" ht="22.5" customHeight="1">
      <c r="A63" s="14" t="b">
        <v>1</v>
      </c>
      <c r="B63" s="15">
        <v>59.0</v>
      </c>
      <c r="C63" s="16" t="s">
        <v>193</v>
      </c>
      <c r="D63" s="32" t="s">
        <v>194</v>
      </c>
      <c r="E63" s="18" t="s">
        <v>195</v>
      </c>
      <c r="F63" s="30">
        <v>1000.0</v>
      </c>
      <c r="G63" s="19"/>
    </row>
    <row r="64" ht="22.5" customHeight="1">
      <c r="A64" s="22" t="b">
        <v>0</v>
      </c>
      <c r="B64" s="23">
        <v>60.0</v>
      </c>
      <c r="C64" s="24" t="s">
        <v>196</v>
      </c>
      <c r="D64" s="34" t="s">
        <v>197</v>
      </c>
      <c r="E64" s="26" t="s">
        <v>198</v>
      </c>
      <c r="F64" s="27">
        <v>1500.0</v>
      </c>
      <c r="G64" s="28"/>
    </row>
    <row r="65" ht="22.5" customHeight="1">
      <c r="A65" s="14" t="b">
        <v>0</v>
      </c>
      <c r="B65" s="15">
        <v>61.0</v>
      </c>
      <c r="C65" s="16" t="s">
        <v>199</v>
      </c>
      <c r="D65" s="32" t="s">
        <v>200</v>
      </c>
      <c r="E65" s="18" t="s">
        <v>201</v>
      </c>
      <c r="F65" s="30">
        <v>2500.0</v>
      </c>
      <c r="G65" s="19"/>
    </row>
    <row r="66" ht="22.5" customHeight="1">
      <c r="A66" s="22" t="b">
        <v>1</v>
      </c>
      <c r="B66" s="23">
        <v>62.0</v>
      </c>
      <c r="C66" s="24" t="s">
        <v>202</v>
      </c>
      <c r="D66" s="34" t="s">
        <v>203</v>
      </c>
      <c r="E66" s="26" t="s">
        <v>204</v>
      </c>
      <c r="F66" s="24">
        <v>200.0</v>
      </c>
      <c r="G66" s="28"/>
    </row>
    <row r="67" ht="22.5" customHeight="1">
      <c r="A67" s="14" t="b">
        <v>1</v>
      </c>
      <c r="B67" s="15">
        <v>63.0</v>
      </c>
      <c r="C67" s="16" t="s">
        <v>205</v>
      </c>
      <c r="D67" s="32" t="s">
        <v>206</v>
      </c>
      <c r="E67" s="18" t="s">
        <v>207</v>
      </c>
      <c r="F67" s="30">
        <v>1000.0</v>
      </c>
      <c r="G67" s="19"/>
    </row>
    <row r="68" ht="22.5" customHeight="1">
      <c r="A68" s="22" t="b">
        <v>1</v>
      </c>
      <c r="B68" s="23">
        <v>64.0</v>
      </c>
      <c r="C68" s="24" t="s">
        <v>208</v>
      </c>
      <c r="D68" s="34" t="s">
        <v>209</v>
      </c>
      <c r="E68" s="26" t="s">
        <v>210</v>
      </c>
      <c r="F68" s="27">
        <v>4000.0</v>
      </c>
      <c r="G68" s="28"/>
    </row>
    <row r="69" ht="22.5" customHeight="1">
      <c r="A69" s="14" t="b">
        <v>0</v>
      </c>
      <c r="B69" s="15">
        <v>65.0</v>
      </c>
      <c r="C69" s="16" t="s">
        <v>211</v>
      </c>
      <c r="D69" s="32" t="s">
        <v>212</v>
      </c>
      <c r="E69" s="18" t="s">
        <v>213</v>
      </c>
      <c r="F69" s="16">
        <v>500.0</v>
      </c>
      <c r="G69" s="19"/>
    </row>
    <row r="70" ht="22.5" customHeight="1">
      <c r="A70" s="22" t="b">
        <v>1</v>
      </c>
      <c r="B70" s="23">
        <v>66.0</v>
      </c>
      <c r="C70" s="24" t="s">
        <v>214</v>
      </c>
      <c r="D70" s="34" t="s">
        <v>215</v>
      </c>
      <c r="E70" s="26" t="s">
        <v>216</v>
      </c>
      <c r="F70" s="27">
        <v>2000.0</v>
      </c>
      <c r="G70" s="28"/>
    </row>
    <row r="71" ht="22.5" customHeight="1">
      <c r="A71" s="14" t="b">
        <v>1</v>
      </c>
      <c r="B71" s="15">
        <v>67.0</v>
      </c>
      <c r="C71" s="16" t="s">
        <v>217</v>
      </c>
      <c r="D71" s="32" t="s">
        <v>218</v>
      </c>
      <c r="E71" s="18" t="s">
        <v>219</v>
      </c>
      <c r="F71" s="30">
        <v>5000.0</v>
      </c>
      <c r="G71" s="19"/>
    </row>
    <row r="72" ht="22.5" customHeight="1">
      <c r="A72" s="22" t="b">
        <v>0</v>
      </c>
      <c r="B72" s="23">
        <v>68.0</v>
      </c>
      <c r="C72" s="24" t="s">
        <v>220</v>
      </c>
      <c r="D72" s="34" t="s">
        <v>221</v>
      </c>
      <c r="E72" s="26" t="s">
        <v>222</v>
      </c>
      <c r="F72" s="27">
        <v>1200.0</v>
      </c>
      <c r="G72" s="41"/>
    </row>
    <row r="73" ht="22.5" customHeight="1">
      <c r="A73" s="14" t="b">
        <v>0</v>
      </c>
      <c r="B73" s="15">
        <v>69.0</v>
      </c>
      <c r="C73" s="16" t="s">
        <v>223</v>
      </c>
      <c r="D73" s="32" t="s">
        <v>224</v>
      </c>
      <c r="E73" s="18" t="s">
        <v>225</v>
      </c>
      <c r="F73" s="16">
        <v>700.0</v>
      </c>
      <c r="G73" s="19"/>
    </row>
    <row r="74" ht="22.5" customHeight="1">
      <c r="A74" s="22" t="b">
        <v>1</v>
      </c>
      <c r="B74" s="23">
        <v>70.0</v>
      </c>
      <c r="C74" s="24" t="s">
        <v>226</v>
      </c>
      <c r="D74" s="34" t="s">
        <v>227</v>
      </c>
      <c r="E74" s="26" t="s">
        <v>228</v>
      </c>
      <c r="F74" s="27">
        <v>3000.0</v>
      </c>
      <c r="G74" s="28"/>
    </row>
    <row r="75" ht="22.5" customHeight="1">
      <c r="A75" s="14" t="b">
        <v>1</v>
      </c>
      <c r="B75" s="15">
        <v>71.0</v>
      </c>
      <c r="C75" s="16" t="s">
        <v>229</v>
      </c>
      <c r="D75" s="32" t="s">
        <v>230</v>
      </c>
      <c r="E75" s="18" t="s">
        <v>231</v>
      </c>
      <c r="F75" s="30">
        <v>1500.0</v>
      </c>
      <c r="G75" s="35"/>
    </row>
    <row r="76" ht="22.5" customHeight="1">
      <c r="A76" s="22" t="b">
        <v>1</v>
      </c>
      <c r="B76" s="23">
        <v>72.0</v>
      </c>
      <c r="C76" s="24" t="s">
        <v>232</v>
      </c>
      <c r="D76" s="34" t="s">
        <v>233</v>
      </c>
      <c r="E76" s="26" t="s">
        <v>234</v>
      </c>
      <c r="F76" s="27">
        <v>2200.0</v>
      </c>
      <c r="G76" s="28"/>
    </row>
    <row r="77" ht="22.5" customHeight="1">
      <c r="A77" s="14" t="b">
        <v>0</v>
      </c>
      <c r="B77" s="15">
        <v>73.0</v>
      </c>
      <c r="C77" s="16" t="s">
        <v>235</v>
      </c>
      <c r="D77" s="32" t="s">
        <v>236</v>
      </c>
      <c r="E77" s="18" t="s">
        <v>237</v>
      </c>
      <c r="F77" s="30">
        <v>1000.0</v>
      </c>
      <c r="G77" s="19"/>
    </row>
    <row r="78" ht="22.5" customHeight="1">
      <c r="A78" s="22" t="b">
        <v>1</v>
      </c>
      <c r="B78" s="23">
        <v>74.0</v>
      </c>
      <c r="C78" s="24" t="s">
        <v>238</v>
      </c>
      <c r="D78" s="34" t="s">
        <v>239</v>
      </c>
      <c r="E78" s="26" t="s">
        <v>240</v>
      </c>
      <c r="F78" s="24">
        <v>900.0</v>
      </c>
      <c r="G78" s="28"/>
    </row>
    <row r="79" ht="22.5" customHeight="1">
      <c r="A79" s="14" t="b">
        <v>0</v>
      </c>
      <c r="B79" s="15">
        <v>75.0</v>
      </c>
      <c r="C79" s="16" t="s">
        <v>241</v>
      </c>
      <c r="D79" s="32" t="s">
        <v>242</v>
      </c>
      <c r="E79" s="18" t="s">
        <v>243</v>
      </c>
      <c r="F79" s="30">
        <v>4500.0</v>
      </c>
      <c r="G79" s="35"/>
    </row>
    <row r="80" ht="22.5" customHeight="1">
      <c r="A80" s="22" t="b">
        <v>1</v>
      </c>
      <c r="B80" s="23">
        <v>76.0</v>
      </c>
      <c r="C80" s="24" t="s">
        <v>244</v>
      </c>
      <c r="D80" s="34" t="s">
        <v>245</v>
      </c>
      <c r="E80" s="26" t="s">
        <v>246</v>
      </c>
      <c r="F80" s="24">
        <v>300.0</v>
      </c>
      <c r="G80" s="41"/>
    </row>
    <row r="81" ht="22.5" customHeight="1">
      <c r="A81" s="14" t="b">
        <v>1</v>
      </c>
      <c r="B81" s="15">
        <v>77.0</v>
      </c>
      <c r="C81" s="16" t="s">
        <v>247</v>
      </c>
      <c r="D81" s="32" t="s">
        <v>248</v>
      </c>
      <c r="E81" s="18" t="s">
        <v>249</v>
      </c>
      <c r="F81" s="30">
        <v>2500.0</v>
      </c>
      <c r="G81" s="19"/>
    </row>
    <row r="82" ht="22.5" customHeight="1">
      <c r="A82" s="22" t="b">
        <v>1</v>
      </c>
      <c r="B82" s="23">
        <v>78.0</v>
      </c>
      <c r="C82" s="24" t="s">
        <v>250</v>
      </c>
      <c r="D82" s="34" t="s">
        <v>251</v>
      </c>
      <c r="E82" s="26" t="s">
        <v>252</v>
      </c>
      <c r="F82" s="27">
        <v>5000.0</v>
      </c>
      <c r="G82" s="28"/>
    </row>
    <row r="83" ht="22.5" customHeight="1">
      <c r="A83" s="14" t="b">
        <v>1</v>
      </c>
      <c r="B83" s="15">
        <v>79.0</v>
      </c>
      <c r="C83" s="16" t="s">
        <v>253</v>
      </c>
      <c r="D83" s="32" t="s">
        <v>254</v>
      </c>
      <c r="E83" s="18" t="s">
        <v>255</v>
      </c>
      <c r="F83" s="30">
        <v>1000.0</v>
      </c>
      <c r="G83" s="19"/>
    </row>
    <row r="84" ht="22.5" customHeight="1">
      <c r="A84" s="22" t="b">
        <v>1</v>
      </c>
      <c r="B84" s="23">
        <v>80.0</v>
      </c>
      <c r="C84" s="24" t="s">
        <v>256</v>
      </c>
      <c r="D84" s="34" t="s">
        <v>257</v>
      </c>
      <c r="E84" s="26" t="s">
        <v>258</v>
      </c>
      <c r="F84" s="27">
        <v>1800.0</v>
      </c>
      <c r="G84" s="28"/>
    </row>
    <row r="85" ht="22.5" customHeight="1">
      <c r="A85" s="14" t="b">
        <v>1</v>
      </c>
      <c r="B85" s="15">
        <v>81.0</v>
      </c>
      <c r="C85" s="16" t="s">
        <v>259</v>
      </c>
      <c r="D85" s="32" t="s">
        <v>260</v>
      </c>
      <c r="E85" s="18" t="s">
        <v>261</v>
      </c>
      <c r="F85" s="30">
        <v>2000.0</v>
      </c>
      <c r="G85" s="35"/>
    </row>
    <row r="86" ht="22.5" customHeight="1">
      <c r="A86" s="22" t="b">
        <v>1</v>
      </c>
      <c r="B86" s="23">
        <v>82.0</v>
      </c>
      <c r="C86" s="24" t="s">
        <v>262</v>
      </c>
      <c r="D86" s="34" t="s">
        <v>263</v>
      </c>
      <c r="E86" s="26" t="s">
        <v>264</v>
      </c>
      <c r="F86" s="24">
        <v>600.0</v>
      </c>
      <c r="G86" s="41"/>
    </row>
    <row r="87" ht="22.5" customHeight="1">
      <c r="A87" s="14" t="b">
        <v>1</v>
      </c>
      <c r="B87" s="15">
        <v>83.0</v>
      </c>
      <c r="C87" s="16" t="s">
        <v>265</v>
      </c>
      <c r="D87" s="32" t="s">
        <v>266</v>
      </c>
      <c r="E87" s="18" t="s">
        <v>267</v>
      </c>
      <c r="F87" s="30">
        <v>3500.0</v>
      </c>
      <c r="G87" s="19"/>
    </row>
    <row r="88" ht="22.5" customHeight="1">
      <c r="A88" s="22" t="b">
        <v>1</v>
      </c>
      <c r="B88" s="23">
        <v>84.0</v>
      </c>
      <c r="C88" s="24" t="s">
        <v>268</v>
      </c>
      <c r="D88" s="34" t="s">
        <v>269</v>
      </c>
      <c r="E88" s="26" t="s">
        <v>270</v>
      </c>
      <c r="F88" s="27">
        <v>1200.0</v>
      </c>
      <c r="G88" s="28"/>
    </row>
    <row r="89" ht="22.5" customHeight="1">
      <c r="A89" s="14" t="b">
        <v>1</v>
      </c>
      <c r="B89" s="15">
        <v>85.0</v>
      </c>
      <c r="C89" s="16" t="s">
        <v>271</v>
      </c>
      <c r="D89" s="32" t="s">
        <v>272</v>
      </c>
      <c r="E89" s="18" t="s">
        <v>273</v>
      </c>
      <c r="F89" s="30">
        <v>2500.0</v>
      </c>
      <c r="G89" s="19"/>
    </row>
    <row r="90" ht="22.5" customHeight="1">
      <c r="A90" s="22" t="b">
        <v>0</v>
      </c>
      <c r="B90" s="23">
        <v>86.0</v>
      </c>
      <c r="C90" s="24" t="s">
        <v>274</v>
      </c>
      <c r="D90" s="34" t="s">
        <v>275</v>
      </c>
      <c r="E90" s="26" t="s">
        <v>276</v>
      </c>
      <c r="F90" s="24">
        <v>400.0</v>
      </c>
      <c r="G90" s="41"/>
    </row>
    <row r="91" ht="22.5" customHeight="1">
      <c r="A91" s="14" t="b">
        <v>1</v>
      </c>
      <c r="B91" s="15">
        <v>87.0</v>
      </c>
      <c r="C91" s="16" t="s">
        <v>277</v>
      </c>
      <c r="D91" s="32" t="s">
        <v>278</v>
      </c>
      <c r="E91" s="18" t="s">
        <v>279</v>
      </c>
      <c r="F91" s="30">
        <v>1000.0</v>
      </c>
      <c r="G91" s="35"/>
    </row>
    <row r="92" ht="22.5" customHeight="1">
      <c r="A92" s="22" t="b">
        <v>1</v>
      </c>
      <c r="B92" s="23">
        <v>88.0</v>
      </c>
      <c r="C92" s="24" t="s">
        <v>280</v>
      </c>
      <c r="D92" s="34" t="s">
        <v>281</v>
      </c>
      <c r="E92" s="26" t="s">
        <v>282</v>
      </c>
      <c r="F92" s="27">
        <v>5000.0</v>
      </c>
      <c r="G92" s="28"/>
    </row>
    <row r="93" ht="22.5" customHeight="1">
      <c r="A93" s="14" t="b">
        <v>1</v>
      </c>
      <c r="B93" s="15">
        <v>89.0</v>
      </c>
      <c r="C93" s="16" t="s">
        <v>283</v>
      </c>
      <c r="D93" s="32" t="s">
        <v>284</v>
      </c>
      <c r="E93" s="18" t="s">
        <v>285</v>
      </c>
      <c r="F93" s="30">
        <v>1500.0</v>
      </c>
      <c r="G93" s="19"/>
    </row>
    <row r="94" ht="22.5" customHeight="1">
      <c r="A94" s="22" t="b">
        <v>0</v>
      </c>
      <c r="B94" s="23">
        <v>90.0</v>
      </c>
      <c r="C94" s="24" t="s">
        <v>286</v>
      </c>
      <c r="D94" s="34" t="s">
        <v>287</v>
      </c>
      <c r="E94" s="26" t="s">
        <v>288</v>
      </c>
      <c r="F94" s="27">
        <v>2000.0</v>
      </c>
      <c r="G94" s="28"/>
    </row>
    <row r="95" ht="22.5" customHeight="1">
      <c r="A95" s="14" t="b">
        <v>1</v>
      </c>
      <c r="B95" s="15">
        <v>91.0</v>
      </c>
      <c r="C95" s="16" t="s">
        <v>289</v>
      </c>
      <c r="D95" s="32" t="s">
        <v>290</v>
      </c>
      <c r="E95" s="18" t="s">
        <v>291</v>
      </c>
      <c r="F95" s="16">
        <v>800.0</v>
      </c>
      <c r="G95" s="19"/>
    </row>
    <row r="96" ht="22.5" customHeight="1">
      <c r="A96" s="22" t="b">
        <v>1</v>
      </c>
      <c r="B96" s="23">
        <v>92.0</v>
      </c>
      <c r="C96" s="24" t="s">
        <v>292</v>
      </c>
      <c r="D96" s="34" t="s">
        <v>293</v>
      </c>
      <c r="E96" s="26" t="s">
        <v>294</v>
      </c>
      <c r="F96" s="27">
        <v>4000.0</v>
      </c>
      <c r="G96" s="28"/>
    </row>
    <row r="97" ht="22.5" customHeight="1">
      <c r="A97" s="14" t="b">
        <v>1</v>
      </c>
      <c r="B97" s="15">
        <v>93.0</v>
      </c>
      <c r="C97" s="16" t="s">
        <v>295</v>
      </c>
      <c r="D97" s="32" t="s">
        <v>296</v>
      </c>
      <c r="E97" s="18" t="s">
        <v>297</v>
      </c>
      <c r="F97" s="30">
        <v>1000.0</v>
      </c>
      <c r="G97" s="19"/>
    </row>
    <row r="98" ht="22.5" customHeight="1">
      <c r="A98" s="22" t="b">
        <v>1</v>
      </c>
      <c r="B98" s="23">
        <v>94.0</v>
      </c>
      <c r="C98" s="24" t="s">
        <v>298</v>
      </c>
      <c r="D98" s="34" t="s">
        <v>299</v>
      </c>
      <c r="E98" s="26" t="s">
        <v>300</v>
      </c>
      <c r="F98" s="27">
        <v>2200.0</v>
      </c>
      <c r="G98" s="28"/>
    </row>
    <row r="99" ht="22.5" customHeight="1">
      <c r="A99" s="14" t="b">
        <v>1</v>
      </c>
      <c r="B99" s="15">
        <v>95.0</v>
      </c>
      <c r="C99" s="16" t="s">
        <v>301</v>
      </c>
      <c r="D99" s="32" t="s">
        <v>302</v>
      </c>
      <c r="E99" s="18" t="s">
        <v>303</v>
      </c>
      <c r="F99" s="16">
        <v>500.0</v>
      </c>
      <c r="G99" s="19"/>
    </row>
    <row r="100" ht="22.5" customHeight="1">
      <c r="A100" s="22" t="b">
        <v>0</v>
      </c>
      <c r="B100" s="23">
        <v>96.0</v>
      </c>
      <c r="C100" s="24" t="s">
        <v>304</v>
      </c>
      <c r="D100" s="34" t="s">
        <v>305</v>
      </c>
      <c r="E100" s="26" t="s">
        <v>306</v>
      </c>
      <c r="F100" s="27">
        <v>3000.0</v>
      </c>
      <c r="G100" s="28"/>
    </row>
    <row r="101" ht="22.5" customHeight="1">
      <c r="A101" s="14" t="b">
        <v>0</v>
      </c>
      <c r="B101" s="15">
        <v>97.0</v>
      </c>
      <c r="C101" s="16" t="s">
        <v>307</v>
      </c>
      <c r="D101" s="32" t="s">
        <v>308</v>
      </c>
      <c r="E101" s="18" t="s">
        <v>309</v>
      </c>
      <c r="F101" s="30">
        <v>1200.0</v>
      </c>
      <c r="G101" s="19"/>
    </row>
    <row r="102" ht="22.5" customHeight="1">
      <c r="A102" s="22" t="b">
        <v>1</v>
      </c>
      <c r="B102" s="23">
        <v>98.0</v>
      </c>
      <c r="C102" s="24" t="s">
        <v>310</v>
      </c>
      <c r="D102" s="34" t="s">
        <v>311</v>
      </c>
      <c r="E102" s="26" t="s">
        <v>312</v>
      </c>
      <c r="F102" s="27">
        <v>2500.0</v>
      </c>
      <c r="G102" s="28"/>
    </row>
    <row r="103" ht="22.5" customHeight="1">
      <c r="A103" s="14" t="b">
        <v>0</v>
      </c>
      <c r="B103" s="15">
        <v>99.0</v>
      </c>
      <c r="C103" s="16" t="s">
        <v>313</v>
      </c>
      <c r="D103" s="32" t="s">
        <v>314</v>
      </c>
      <c r="E103" s="18" t="s">
        <v>315</v>
      </c>
      <c r="F103" s="30">
        <v>5000.0</v>
      </c>
      <c r="G103" s="19"/>
    </row>
    <row r="104" ht="22.5" customHeight="1">
      <c r="A104" s="22" t="b">
        <v>1</v>
      </c>
      <c r="B104" s="23">
        <v>100.0</v>
      </c>
      <c r="C104" s="24" t="s">
        <v>316</v>
      </c>
      <c r="D104" s="34" t="s">
        <v>317</v>
      </c>
      <c r="E104" s="26" t="s">
        <v>318</v>
      </c>
      <c r="F104" s="24">
        <v>700.0</v>
      </c>
      <c r="G104" s="28"/>
    </row>
    <row r="105" ht="22.5" customHeight="1">
      <c r="A105" s="14" t="b">
        <v>0</v>
      </c>
      <c r="B105" s="15">
        <v>101.0</v>
      </c>
      <c r="C105" s="16" t="s">
        <v>319</v>
      </c>
      <c r="D105" s="32" t="s">
        <v>320</v>
      </c>
      <c r="E105" s="18" t="s">
        <v>321</v>
      </c>
      <c r="F105" s="30">
        <v>1000.0</v>
      </c>
      <c r="G105" s="19"/>
    </row>
    <row r="106" ht="22.5" customHeight="1">
      <c r="A106" s="22" t="b">
        <v>1</v>
      </c>
      <c r="B106" s="23">
        <v>102.0</v>
      </c>
      <c r="C106" s="24" t="s">
        <v>322</v>
      </c>
      <c r="D106" s="34" t="s">
        <v>323</v>
      </c>
      <c r="E106" s="26" t="s">
        <v>324</v>
      </c>
      <c r="F106" s="27">
        <v>2000.0</v>
      </c>
      <c r="G106" s="28"/>
    </row>
    <row r="107" ht="22.5" customHeight="1">
      <c r="A107" s="14" t="b">
        <v>0</v>
      </c>
      <c r="B107" s="15">
        <v>103.0</v>
      </c>
      <c r="C107" s="16" t="s">
        <v>325</v>
      </c>
      <c r="D107" s="32" t="s">
        <v>326</v>
      </c>
      <c r="E107" s="18" t="s">
        <v>327</v>
      </c>
      <c r="F107" s="30">
        <v>1500.0</v>
      </c>
      <c r="G107" s="19"/>
    </row>
    <row r="108" ht="22.5" customHeight="1">
      <c r="A108" s="22" t="b">
        <v>1</v>
      </c>
      <c r="B108" s="23">
        <v>104.0</v>
      </c>
      <c r="C108" s="24" t="s">
        <v>328</v>
      </c>
      <c r="D108" s="34" t="s">
        <v>329</v>
      </c>
      <c r="E108" s="26" t="s">
        <v>330</v>
      </c>
      <c r="F108" s="24">
        <v>900.0</v>
      </c>
      <c r="G108" s="28"/>
    </row>
    <row r="109" ht="22.5" customHeight="1">
      <c r="A109" s="14" t="b">
        <v>0</v>
      </c>
      <c r="B109" s="15">
        <v>105.0</v>
      </c>
      <c r="C109" s="16" t="s">
        <v>331</v>
      </c>
      <c r="D109" s="32" t="s">
        <v>332</v>
      </c>
      <c r="E109" s="18" t="s">
        <v>333</v>
      </c>
      <c r="F109" s="30">
        <v>3500.0</v>
      </c>
      <c r="G109" s="19"/>
    </row>
    <row r="110" ht="22.5" customHeight="1">
      <c r="A110" s="22" t="b">
        <v>1</v>
      </c>
      <c r="B110" s="23">
        <v>106.0</v>
      </c>
      <c r="C110" s="24" t="s">
        <v>334</v>
      </c>
      <c r="D110" s="34" t="s">
        <v>335</v>
      </c>
      <c r="E110" s="26" t="s">
        <v>336</v>
      </c>
      <c r="F110" s="24">
        <v>200.0</v>
      </c>
      <c r="G110" s="28"/>
    </row>
    <row r="111" ht="22.5" customHeight="1">
      <c r="A111" s="14" t="b">
        <v>0</v>
      </c>
      <c r="B111" s="15">
        <v>107.0</v>
      </c>
      <c r="C111" s="16" t="s">
        <v>337</v>
      </c>
      <c r="D111" s="32" t="s">
        <v>338</v>
      </c>
      <c r="E111" s="18" t="s">
        <v>339</v>
      </c>
      <c r="F111" s="30">
        <v>2500.0</v>
      </c>
      <c r="G111" s="19"/>
    </row>
    <row r="112" ht="22.5" customHeight="1">
      <c r="A112" s="22" t="b">
        <v>0</v>
      </c>
      <c r="B112" s="23">
        <v>108.0</v>
      </c>
      <c r="C112" s="24" t="s">
        <v>340</v>
      </c>
      <c r="D112" s="34" t="s">
        <v>341</v>
      </c>
      <c r="E112" s="26" t="s">
        <v>342</v>
      </c>
      <c r="F112" s="27">
        <v>1000.0</v>
      </c>
      <c r="G112" s="41"/>
    </row>
    <row r="113" ht="22.5" customHeight="1">
      <c r="A113" s="14" t="b">
        <v>1</v>
      </c>
      <c r="B113" s="15">
        <v>109.0</v>
      </c>
      <c r="C113" s="16" t="s">
        <v>343</v>
      </c>
      <c r="D113" s="32" t="s">
        <v>344</v>
      </c>
      <c r="E113" s="18" t="s">
        <v>345</v>
      </c>
      <c r="F113" s="30">
        <v>4000.0</v>
      </c>
      <c r="G113" s="19"/>
    </row>
    <row r="114" ht="22.5" customHeight="1">
      <c r="A114" s="22" t="b">
        <v>0</v>
      </c>
      <c r="B114" s="23">
        <v>110.0</v>
      </c>
      <c r="C114" s="24" t="s">
        <v>346</v>
      </c>
      <c r="D114" s="34" t="s">
        <v>347</v>
      </c>
      <c r="E114" s="26" t="s">
        <v>348</v>
      </c>
      <c r="F114" s="27">
        <v>1200.0</v>
      </c>
      <c r="G114" s="28"/>
    </row>
    <row r="115" ht="22.5" customHeight="1">
      <c r="A115" s="14" t="b">
        <v>1</v>
      </c>
      <c r="B115" s="15">
        <v>111.0</v>
      </c>
      <c r="C115" s="16" t="s">
        <v>349</v>
      </c>
      <c r="D115" s="32" t="s">
        <v>350</v>
      </c>
      <c r="E115" s="18" t="s">
        <v>351</v>
      </c>
      <c r="F115" s="30">
        <v>2000.0</v>
      </c>
      <c r="G115" s="19"/>
    </row>
    <row r="116" ht="22.5" customHeight="1">
      <c r="A116" s="22" t="b">
        <v>0</v>
      </c>
      <c r="B116" s="23">
        <v>112.0</v>
      </c>
      <c r="C116" s="24" t="s">
        <v>352</v>
      </c>
      <c r="D116" s="34" t="s">
        <v>353</v>
      </c>
      <c r="E116" s="26" t="s">
        <v>354</v>
      </c>
      <c r="F116" s="27">
        <v>5000.0</v>
      </c>
      <c r="G116" s="41"/>
    </row>
    <row r="117" ht="22.5" customHeight="1">
      <c r="A117" s="14" t="b">
        <v>1</v>
      </c>
      <c r="B117" s="15">
        <v>113.0</v>
      </c>
      <c r="C117" s="16" t="s">
        <v>355</v>
      </c>
      <c r="D117" s="32" t="s">
        <v>356</v>
      </c>
      <c r="E117" s="18" t="s">
        <v>357</v>
      </c>
      <c r="F117" s="16">
        <v>600.0</v>
      </c>
      <c r="G117" s="19"/>
    </row>
    <row r="118" ht="22.5" customHeight="1">
      <c r="A118" s="22" t="b">
        <v>0</v>
      </c>
      <c r="B118" s="23">
        <v>114.0</v>
      </c>
      <c r="C118" s="24" t="s">
        <v>358</v>
      </c>
      <c r="D118" s="34" t="s">
        <v>359</v>
      </c>
      <c r="E118" s="26" t="s">
        <v>360</v>
      </c>
      <c r="F118" s="27">
        <v>1500.0</v>
      </c>
      <c r="G118" s="28"/>
    </row>
    <row r="119" ht="22.5" customHeight="1">
      <c r="A119" s="14" t="b">
        <v>0</v>
      </c>
      <c r="B119" s="15">
        <v>115.0</v>
      </c>
      <c r="C119" s="16" t="s">
        <v>361</v>
      </c>
      <c r="D119" s="32" t="s">
        <v>362</v>
      </c>
      <c r="E119" s="18" t="s">
        <v>363</v>
      </c>
      <c r="F119" s="30">
        <v>3000.0</v>
      </c>
      <c r="G119" s="19"/>
    </row>
    <row r="120" ht="22.5" customHeight="1">
      <c r="A120" s="22" t="b">
        <v>1</v>
      </c>
      <c r="B120" s="23">
        <v>116.0</v>
      </c>
      <c r="C120" s="24" t="s">
        <v>364</v>
      </c>
      <c r="D120" s="34" t="s">
        <v>365</v>
      </c>
      <c r="E120" s="26" t="s">
        <v>366</v>
      </c>
      <c r="F120" s="27">
        <v>1000.0</v>
      </c>
    </row>
    <row r="121" ht="22.5" customHeight="1">
      <c r="A121" s="14" t="b">
        <v>0</v>
      </c>
      <c r="B121" s="15">
        <v>117.0</v>
      </c>
      <c r="C121" s="16" t="s">
        <v>367</v>
      </c>
      <c r="D121" s="32" t="s">
        <v>368</v>
      </c>
      <c r="E121" s="18" t="s">
        <v>369</v>
      </c>
      <c r="F121" s="16">
        <v>800.0</v>
      </c>
    </row>
    <row r="122" ht="22.5" customHeight="1">
      <c r="A122" s="22" t="b">
        <v>0</v>
      </c>
      <c r="B122" s="23">
        <v>118.0</v>
      </c>
      <c r="C122" s="24" t="s">
        <v>370</v>
      </c>
      <c r="D122" s="34" t="s">
        <v>371</v>
      </c>
      <c r="E122" s="26" t="s">
        <v>372</v>
      </c>
      <c r="F122" s="27">
        <v>2500.0</v>
      </c>
      <c r="G122" s="28"/>
    </row>
    <row r="123" ht="22.5" customHeight="1">
      <c r="A123" s="14" t="b">
        <v>1</v>
      </c>
      <c r="B123" s="15">
        <v>119.0</v>
      </c>
      <c r="C123" s="16" t="s">
        <v>373</v>
      </c>
      <c r="D123" s="32" t="s">
        <v>374</v>
      </c>
      <c r="E123" s="18" t="s">
        <v>375</v>
      </c>
      <c r="F123" s="16">
        <v>400.0</v>
      </c>
      <c r="G123" s="19"/>
    </row>
    <row r="124" ht="22.5" customHeight="1">
      <c r="A124" s="22" t="b">
        <v>1</v>
      </c>
      <c r="B124" s="23">
        <v>120.0</v>
      </c>
      <c r="C124" s="24" t="s">
        <v>376</v>
      </c>
      <c r="D124" s="34" t="s">
        <v>377</v>
      </c>
      <c r="E124" s="26" t="s">
        <v>378</v>
      </c>
      <c r="F124" s="27">
        <v>4500.0</v>
      </c>
      <c r="G124" s="28"/>
    </row>
    <row r="125" ht="22.5" customHeight="1">
      <c r="A125" s="14" t="b">
        <v>1</v>
      </c>
      <c r="B125" s="15">
        <v>121.0</v>
      </c>
      <c r="C125" s="16" t="s">
        <v>379</v>
      </c>
      <c r="D125" s="32" t="s">
        <v>380</v>
      </c>
      <c r="E125" s="18" t="s">
        <v>381</v>
      </c>
      <c r="F125" s="30">
        <v>1000.0</v>
      </c>
      <c r="G125" s="19"/>
    </row>
    <row r="126" ht="22.5" customHeight="1">
      <c r="A126" s="22" t="b">
        <v>0</v>
      </c>
      <c r="B126" s="23">
        <v>122.0</v>
      </c>
      <c r="C126" s="24" t="s">
        <v>382</v>
      </c>
      <c r="D126" s="34" t="s">
        <v>383</v>
      </c>
      <c r="E126" s="26" t="s">
        <v>384</v>
      </c>
      <c r="F126" s="27">
        <v>2000.0</v>
      </c>
      <c r="G126" s="28"/>
    </row>
    <row r="127" ht="22.5" customHeight="1">
      <c r="A127" s="14" t="b">
        <v>0</v>
      </c>
      <c r="B127" s="15">
        <v>123.0</v>
      </c>
      <c r="C127" s="16" t="s">
        <v>385</v>
      </c>
      <c r="D127" s="32" t="s">
        <v>386</v>
      </c>
      <c r="E127" s="18" t="s">
        <v>387</v>
      </c>
      <c r="F127" s="30">
        <v>5000.0</v>
      </c>
      <c r="G127" s="19"/>
    </row>
    <row r="128" ht="22.5" customHeight="1">
      <c r="A128" s="22" t="b">
        <v>0</v>
      </c>
      <c r="B128" s="23">
        <v>124.0</v>
      </c>
      <c r="C128" s="24" t="s">
        <v>388</v>
      </c>
      <c r="D128" s="34" t="s">
        <v>389</v>
      </c>
      <c r="E128" s="26" t="s">
        <v>390</v>
      </c>
      <c r="F128" s="27">
        <v>1200.0</v>
      </c>
      <c r="G128" s="28"/>
    </row>
    <row r="129" ht="22.5" customHeight="1">
      <c r="A129" s="14" t="b">
        <v>1</v>
      </c>
      <c r="B129" s="15">
        <v>125.0</v>
      </c>
      <c r="C129" s="16" t="s">
        <v>391</v>
      </c>
      <c r="D129" s="32" t="s">
        <v>392</v>
      </c>
      <c r="E129" s="18" t="s">
        <v>393</v>
      </c>
      <c r="F129" s="16">
        <v>700.0</v>
      </c>
      <c r="G129" s="19"/>
    </row>
    <row r="130" ht="22.5" customHeight="1">
      <c r="A130" s="22" t="b">
        <v>1</v>
      </c>
      <c r="B130" s="23">
        <v>126.0</v>
      </c>
      <c r="C130" s="24" t="s">
        <v>394</v>
      </c>
      <c r="D130" s="34" t="s">
        <v>395</v>
      </c>
      <c r="E130" s="26" t="s">
        <v>396</v>
      </c>
      <c r="F130" s="27">
        <v>3500.0</v>
      </c>
      <c r="G130" s="28"/>
    </row>
    <row r="131" ht="22.5" customHeight="1">
      <c r="A131" s="14" t="b">
        <v>1</v>
      </c>
      <c r="B131" s="15">
        <v>127.0</v>
      </c>
      <c r="C131" s="16" t="s">
        <v>397</v>
      </c>
      <c r="D131" s="32" t="s">
        <v>398</v>
      </c>
      <c r="E131" s="18" t="s">
        <v>399</v>
      </c>
      <c r="F131" s="30">
        <v>1500.0</v>
      </c>
      <c r="G131" s="19"/>
    </row>
    <row r="132" ht="22.5" customHeight="1">
      <c r="A132" s="22" t="b">
        <v>0</v>
      </c>
      <c r="B132" s="23">
        <v>128.0</v>
      </c>
      <c r="C132" s="24" t="s">
        <v>400</v>
      </c>
      <c r="D132" s="34" t="s">
        <v>401</v>
      </c>
      <c r="E132" s="26" t="s">
        <v>402</v>
      </c>
      <c r="F132" s="27">
        <v>2200.0</v>
      </c>
      <c r="G132" s="28"/>
    </row>
    <row r="133" ht="22.5" customHeight="1">
      <c r="A133" s="14" t="b">
        <v>1</v>
      </c>
      <c r="B133" s="15">
        <v>129.0</v>
      </c>
      <c r="C133" s="16" t="s">
        <v>403</v>
      </c>
      <c r="D133" s="32" t="s">
        <v>404</v>
      </c>
      <c r="E133" s="18" t="s">
        <v>405</v>
      </c>
      <c r="F133" s="16">
        <v>300.0</v>
      </c>
      <c r="G133" s="19"/>
    </row>
    <row r="134" ht="22.5" customHeight="1">
      <c r="A134" s="22" t="b">
        <v>0</v>
      </c>
      <c r="B134" s="23">
        <v>130.0</v>
      </c>
      <c r="C134" s="24" t="s">
        <v>406</v>
      </c>
      <c r="D134" s="34" t="s">
        <v>407</v>
      </c>
      <c r="E134" s="26" t="s">
        <v>408</v>
      </c>
      <c r="F134" s="27">
        <v>1000.0</v>
      </c>
      <c r="G134" s="28"/>
    </row>
    <row r="135" ht="22.5" customHeight="1">
      <c r="A135" s="14" t="b">
        <v>1</v>
      </c>
      <c r="B135" s="15">
        <v>131.0</v>
      </c>
      <c r="C135" s="16" t="s">
        <v>409</v>
      </c>
      <c r="D135" s="32" t="s">
        <v>410</v>
      </c>
      <c r="E135" s="18" t="s">
        <v>411</v>
      </c>
      <c r="F135" s="30">
        <v>2500.0</v>
      </c>
      <c r="G135" s="19"/>
    </row>
    <row r="136" ht="22.5" customHeight="1">
      <c r="A136" s="22" t="b">
        <v>1</v>
      </c>
      <c r="B136" s="23">
        <v>132.0</v>
      </c>
      <c r="C136" s="24" t="s">
        <v>412</v>
      </c>
      <c r="D136" s="34" t="s">
        <v>413</v>
      </c>
      <c r="E136" s="26" t="s">
        <v>414</v>
      </c>
      <c r="F136" s="27">
        <v>1800.0</v>
      </c>
      <c r="G136" s="28"/>
    </row>
    <row r="137" ht="22.5" customHeight="1">
      <c r="A137" s="14" t="b">
        <v>1</v>
      </c>
      <c r="B137" s="15">
        <v>133.0</v>
      </c>
      <c r="C137" s="16" t="s">
        <v>415</v>
      </c>
      <c r="D137" s="32" t="s">
        <v>416</v>
      </c>
      <c r="E137" s="18" t="s">
        <v>417</v>
      </c>
      <c r="F137" s="16">
        <v>600.0</v>
      </c>
      <c r="G137" s="19"/>
    </row>
    <row r="138" ht="22.5" customHeight="1">
      <c r="A138" s="22" t="b">
        <v>0</v>
      </c>
      <c r="B138" s="23">
        <v>134.0</v>
      </c>
      <c r="C138" s="24" t="s">
        <v>418</v>
      </c>
      <c r="D138" s="34" t="s">
        <v>419</v>
      </c>
      <c r="E138" s="26" t="s">
        <v>420</v>
      </c>
      <c r="F138" s="27">
        <v>4000.0</v>
      </c>
      <c r="G138" s="28"/>
    </row>
    <row r="139" ht="22.5" customHeight="1">
      <c r="A139" s="14" t="b">
        <v>1</v>
      </c>
      <c r="B139" s="15">
        <v>135.0</v>
      </c>
      <c r="C139" s="16" t="s">
        <v>421</v>
      </c>
      <c r="D139" s="32" t="s">
        <v>422</v>
      </c>
      <c r="E139" s="18" t="s">
        <v>423</v>
      </c>
      <c r="F139" s="30">
        <v>1000.0</v>
      </c>
      <c r="G139" s="19"/>
    </row>
    <row r="140" ht="22.5" customHeight="1">
      <c r="A140" s="22" t="b">
        <v>0</v>
      </c>
      <c r="B140" s="23">
        <v>136.0</v>
      </c>
      <c r="C140" s="24" t="s">
        <v>424</v>
      </c>
      <c r="D140" s="34" t="s">
        <v>425</v>
      </c>
      <c r="E140" s="26" t="s">
        <v>426</v>
      </c>
      <c r="F140" s="27">
        <v>2000.0</v>
      </c>
      <c r="G140" s="28"/>
    </row>
    <row r="141" ht="22.5" customHeight="1">
      <c r="A141" s="14" t="b">
        <v>0</v>
      </c>
      <c r="B141" s="15">
        <v>137.0</v>
      </c>
      <c r="C141" s="16" t="s">
        <v>427</v>
      </c>
      <c r="D141" s="32" t="s">
        <v>428</v>
      </c>
      <c r="E141" s="18" t="s">
        <v>429</v>
      </c>
      <c r="F141" s="30">
        <v>5000.0</v>
      </c>
      <c r="G141" s="19"/>
    </row>
    <row r="142" ht="22.5" customHeight="1">
      <c r="A142" s="22" t="b">
        <v>1</v>
      </c>
      <c r="B142" s="23">
        <v>138.0</v>
      </c>
      <c r="C142" s="24" t="s">
        <v>430</v>
      </c>
      <c r="D142" s="34" t="s">
        <v>431</v>
      </c>
      <c r="E142" s="26" t="s">
        <v>432</v>
      </c>
      <c r="F142" s="24">
        <v>500.0</v>
      </c>
      <c r="G142" s="28"/>
    </row>
    <row r="143" ht="22.5" customHeight="1">
      <c r="A143" s="14" t="b">
        <v>0</v>
      </c>
      <c r="B143" s="15">
        <v>139.0</v>
      </c>
      <c r="C143" s="16" t="s">
        <v>433</v>
      </c>
      <c r="D143" s="32" t="s">
        <v>434</v>
      </c>
      <c r="E143" s="18" t="s">
        <v>435</v>
      </c>
      <c r="F143" s="30">
        <v>1500.0</v>
      </c>
      <c r="G143" s="19"/>
    </row>
    <row r="144" ht="22.5" customHeight="1">
      <c r="A144" s="22" t="b">
        <v>0</v>
      </c>
      <c r="B144" s="23">
        <v>140.0</v>
      </c>
      <c r="C144" s="24" t="s">
        <v>436</v>
      </c>
      <c r="D144" s="34" t="s">
        <v>437</v>
      </c>
      <c r="E144" s="26" t="s">
        <v>438</v>
      </c>
      <c r="F144" s="27">
        <v>3000.0</v>
      </c>
      <c r="G144" s="28"/>
    </row>
    <row r="145" ht="22.5" customHeight="1">
      <c r="A145" s="14" t="b">
        <v>1</v>
      </c>
      <c r="B145" s="15">
        <v>141.0</v>
      </c>
      <c r="C145" s="16" t="s">
        <v>439</v>
      </c>
      <c r="D145" s="32" t="s">
        <v>440</v>
      </c>
      <c r="E145" s="18" t="s">
        <v>441</v>
      </c>
      <c r="F145" s="30">
        <v>1200.0</v>
      </c>
      <c r="G145" s="19"/>
    </row>
    <row r="146" ht="22.5" customHeight="1">
      <c r="A146" s="22" t="b">
        <v>1</v>
      </c>
      <c r="B146" s="23">
        <v>142.0</v>
      </c>
      <c r="C146" s="24" t="s">
        <v>442</v>
      </c>
      <c r="D146" s="34" t="s">
        <v>443</v>
      </c>
      <c r="E146" s="26" t="s">
        <v>444</v>
      </c>
      <c r="F146" s="24">
        <v>900.0</v>
      </c>
      <c r="G146" s="28"/>
    </row>
    <row r="147" ht="22.5" customHeight="1">
      <c r="A147" s="14" t="b">
        <v>1</v>
      </c>
      <c r="B147" s="15">
        <v>143.0</v>
      </c>
      <c r="C147" s="16" t="s">
        <v>445</v>
      </c>
      <c r="D147" s="32" t="s">
        <v>446</v>
      </c>
      <c r="E147" s="18" t="s">
        <v>447</v>
      </c>
      <c r="F147" s="30">
        <v>2500.0</v>
      </c>
      <c r="G147" s="19"/>
    </row>
    <row r="148" ht="22.5" customHeight="1">
      <c r="A148" s="22" t="b">
        <v>0</v>
      </c>
      <c r="B148" s="23">
        <v>144.0</v>
      </c>
      <c r="C148" s="24" t="s">
        <v>448</v>
      </c>
      <c r="D148" s="34" t="s">
        <v>449</v>
      </c>
      <c r="E148" s="26" t="s">
        <v>450</v>
      </c>
      <c r="F148" s="24">
        <v>200.0</v>
      </c>
      <c r="G148" s="28"/>
    </row>
    <row r="149" ht="22.5" customHeight="1">
      <c r="A149" s="14" t="b">
        <v>1</v>
      </c>
      <c r="B149" s="15">
        <v>145.0</v>
      </c>
      <c r="C149" s="16" t="s">
        <v>451</v>
      </c>
      <c r="D149" s="32" t="s">
        <v>452</v>
      </c>
      <c r="E149" s="18" t="s">
        <v>453</v>
      </c>
      <c r="F149" s="30">
        <v>1000.0</v>
      </c>
      <c r="G149" s="19"/>
    </row>
    <row r="150" ht="22.5" customHeight="1">
      <c r="A150" s="22" t="b">
        <v>1</v>
      </c>
      <c r="B150" s="23">
        <v>146.0</v>
      </c>
      <c r="C150" s="24" t="s">
        <v>454</v>
      </c>
      <c r="D150" s="34" t="s">
        <v>455</v>
      </c>
      <c r="E150" s="26" t="s">
        <v>456</v>
      </c>
      <c r="F150" s="27">
        <v>4500.0</v>
      </c>
      <c r="G150" s="28"/>
    </row>
    <row r="151" ht="22.5" customHeight="1">
      <c r="A151" s="14" t="b">
        <v>1</v>
      </c>
      <c r="B151" s="15">
        <v>147.0</v>
      </c>
      <c r="C151" s="16" t="s">
        <v>457</v>
      </c>
      <c r="D151" s="32" t="s">
        <v>458</v>
      </c>
      <c r="E151" s="18" t="s">
        <v>459</v>
      </c>
      <c r="F151" s="30">
        <v>2000.0</v>
      </c>
      <c r="G151" s="19"/>
    </row>
    <row r="152" ht="22.5" customHeight="1">
      <c r="A152" s="22" t="b">
        <v>1</v>
      </c>
      <c r="B152" s="23">
        <v>148.0</v>
      </c>
      <c r="C152" s="24" t="s">
        <v>460</v>
      </c>
      <c r="D152" s="34" t="s">
        <v>461</v>
      </c>
      <c r="E152" s="26" t="s">
        <v>462</v>
      </c>
      <c r="F152" s="27">
        <v>5000.0</v>
      </c>
      <c r="G152" s="28"/>
    </row>
    <row r="153" ht="22.5" customHeight="1">
      <c r="A153" s="14" t="b">
        <v>0</v>
      </c>
      <c r="B153" s="15">
        <v>149.0</v>
      </c>
      <c r="C153" s="16" t="s">
        <v>463</v>
      </c>
      <c r="D153" s="32" t="s">
        <v>464</v>
      </c>
      <c r="E153" s="18" t="s">
        <v>465</v>
      </c>
      <c r="F153" s="16">
        <v>700.0</v>
      </c>
      <c r="G153" s="19"/>
    </row>
    <row r="154" ht="22.5" customHeight="1">
      <c r="A154" s="22" t="b">
        <v>1</v>
      </c>
      <c r="B154" s="23">
        <v>150.0</v>
      </c>
      <c r="C154" s="24" t="s">
        <v>466</v>
      </c>
      <c r="D154" s="34" t="s">
        <v>467</v>
      </c>
      <c r="E154" s="26" t="s">
        <v>468</v>
      </c>
      <c r="F154" s="27">
        <v>1500.0</v>
      </c>
      <c r="G154" s="28"/>
    </row>
    <row r="155" ht="22.5" customHeight="1">
      <c r="A155" s="14" t="b">
        <v>1</v>
      </c>
      <c r="B155" s="15">
        <v>151.0</v>
      </c>
      <c r="C155" s="16" t="s">
        <v>469</v>
      </c>
      <c r="D155" s="32" t="s">
        <v>470</v>
      </c>
      <c r="E155" s="18" t="s">
        <v>471</v>
      </c>
      <c r="F155" s="30">
        <v>3500.0</v>
      </c>
      <c r="G155" s="19"/>
    </row>
    <row r="156" ht="22.5" customHeight="1">
      <c r="A156" s="22" t="b">
        <v>1</v>
      </c>
      <c r="B156" s="23">
        <v>152.0</v>
      </c>
      <c r="C156" s="24" t="s">
        <v>472</v>
      </c>
      <c r="D156" s="34" t="s">
        <v>473</v>
      </c>
      <c r="E156" s="26" t="s">
        <v>474</v>
      </c>
      <c r="F156" s="27">
        <v>1000.0</v>
      </c>
      <c r="G156" s="28"/>
    </row>
    <row r="157" ht="22.5" customHeight="1">
      <c r="A157" s="14" t="b">
        <v>0</v>
      </c>
      <c r="B157" s="15">
        <v>153.0</v>
      </c>
      <c r="C157" s="16" t="s">
        <v>475</v>
      </c>
      <c r="D157" s="32" t="s">
        <v>476</v>
      </c>
      <c r="E157" s="18" t="s">
        <v>477</v>
      </c>
      <c r="F157" s="16">
        <v>800.0</v>
      </c>
      <c r="G157" s="19"/>
    </row>
    <row r="158" ht="22.5" customHeight="1">
      <c r="A158" s="22" t="b">
        <v>1</v>
      </c>
      <c r="B158" s="23">
        <v>154.0</v>
      </c>
      <c r="C158" s="24" t="s">
        <v>478</v>
      </c>
      <c r="D158" s="34" t="s">
        <v>479</v>
      </c>
      <c r="E158" s="26" t="s">
        <v>480</v>
      </c>
      <c r="F158" s="27">
        <v>2200.0</v>
      </c>
      <c r="G158" s="28"/>
    </row>
    <row r="159" ht="22.5" customHeight="1">
      <c r="A159" s="14" t="b">
        <v>1</v>
      </c>
      <c r="B159" s="15">
        <v>155.0</v>
      </c>
      <c r="C159" s="16" t="s">
        <v>481</v>
      </c>
      <c r="D159" s="32" t="s">
        <v>482</v>
      </c>
      <c r="E159" s="18" t="s">
        <v>483</v>
      </c>
      <c r="F159" s="30">
        <v>1200.0</v>
      </c>
      <c r="G159" s="19"/>
    </row>
    <row r="160" ht="22.5" customHeight="1">
      <c r="A160" s="22" t="b">
        <v>1</v>
      </c>
      <c r="B160" s="23">
        <v>156.0</v>
      </c>
      <c r="C160" s="24" t="s">
        <v>484</v>
      </c>
      <c r="D160" s="34" t="s">
        <v>485</v>
      </c>
      <c r="E160" s="26" t="s">
        <v>486</v>
      </c>
      <c r="F160" s="27">
        <v>4000.0</v>
      </c>
      <c r="G160" s="28"/>
    </row>
    <row r="161" ht="22.5" customHeight="1">
      <c r="A161" s="14" t="b">
        <v>1</v>
      </c>
      <c r="B161" s="15">
        <v>157.0</v>
      </c>
      <c r="C161" s="16" t="s">
        <v>487</v>
      </c>
      <c r="D161" s="32" t="s">
        <v>488</v>
      </c>
      <c r="E161" s="18" t="s">
        <v>489</v>
      </c>
      <c r="F161" s="16">
        <v>500.0</v>
      </c>
      <c r="G161" s="19"/>
    </row>
    <row r="162" ht="22.5" customHeight="1">
      <c r="A162" s="22" t="b">
        <v>0</v>
      </c>
      <c r="B162" s="23">
        <v>158.0</v>
      </c>
      <c r="C162" s="24" t="s">
        <v>490</v>
      </c>
      <c r="D162" s="34" t="s">
        <v>491</v>
      </c>
      <c r="E162" s="26" t="s">
        <v>492</v>
      </c>
      <c r="F162" s="27">
        <v>2500.0</v>
      </c>
      <c r="G162" s="28"/>
    </row>
    <row r="163" ht="22.5" customHeight="1">
      <c r="A163" s="14" t="b">
        <v>1</v>
      </c>
      <c r="B163" s="15">
        <v>159.0</v>
      </c>
      <c r="C163" s="16" t="s">
        <v>493</v>
      </c>
      <c r="D163" s="32" t="s">
        <v>494</v>
      </c>
      <c r="E163" s="18" t="s">
        <v>495</v>
      </c>
      <c r="F163" s="30">
        <v>5000.0</v>
      </c>
      <c r="G163" s="19"/>
    </row>
    <row r="164" ht="22.5" customHeight="1">
      <c r="A164" s="22" t="b">
        <v>1</v>
      </c>
      <c r="B164" s="23">
        <v>160.0</v>
      </c>
      <c r="C164" s="24" t="s">
        <v>496</v>
      </c>
      <c r="D164" s="34" t="s">
        <v>497</v>
      </c>
      <c r="E164" s="26" t="s">
        <v>498</v>
      </c>
      <c r="F164" s="27">
        <v>1000.0</v>
      </c>
      <c r="G164" s="28"/>
    </row>
    <row r="165" ht="22.5" customHeight="1">
      <c r="A165" s="14" t="b">
        <v>0</v>
      </c>
      <c r="B165" s="15">
        <v>161.0</v>
      </c>
      <c r="C165" s="16" t="s">
        <v>499</v>
      </c>
      <c r="D165" s="32" t="s">
        <v>500</v>
      </c>
      <c r="E165" s="18" t="s">
        <v>501</v>
      </c>
      <c r="F165" s="30">
        <v>1500.0</v>
      </c>
      <c r="G165" s="19"/>
    </row>
    <row r="166" ht="22.5" customHeight="1">
      <c r="A166" s="22" t="b">
        <v>0</v>
      </c>
      <c r="B166" s="23">
        <v>162.0</v>
      </c>
      <c r="C166" s="24" t="s">
        <v>502</v>
      </c>
      <c r="D166" s="34" t="s">
        <v>503</v>
      </c>
      <c r="E166" s="26" t="s">
        <v>504</v>
      </c>
      <c r="F166" s="27">
        <v>3000.0</v>
      </c>
      <c r="G166" s="28"/>
    </row>
    <row r="167" ht="22.5" customHeight="1">
      <c r="A167" s="14" t="b">
        <v>0</v>
      </c>
      <c r="B167" s="15">
        <v>163.0</v>
      </c>
      <c r="C167" s="16" t="s">
        <v>505</v>
      </c>
      <c r="D167" s="32" t="s">
        <v>506</v>
      </c>
      <c r="E167" s="18" t="s">
        <v>507</v>
      </c>
      <c r="F167" s="16">
        <v>600.0</v>
      </c>
      <c r="G167" s="19"/>
    </row>
    <row r="168" ht="22.5" customHeight="1">
      <c r="A168" s="22" t="b">
        <v>1</v>
      </c>
      <c r="B168" s="23">
        <v>164.0</v>
      </c>
      <c r="C168" s="24" t="s">
        <v>508</v>
      </c>
      <c r="D168" s="34" t="s">
        <v>509</v>
      </c>
      <c r="E168" s="26" t="s">
        <v>510</v>
      </c>
      <c r="F168" s="27">
        <v>2000.0</v>
      </c>
      <c r="G168" s="28"/>
    </row>
    <row r="169" ht="22.5" customHeight="1">
      <c r="A169" s="14" t="b">
        <v>1</v>
      </c>
      <c r="B169" s="15">
        <v>165.0</v>
      </c>
      <c r="C169" s="16" t="s">
        <v>511</v>
      </c>
      <c r="D169" s="32" t="s">
        <v>512</v>
      </c>
      <c r="E169" s="18" t="s">
        <v>513</v>
      </c>
      <c r="F169" s="30">
        <v>1200.0</v>
      </c>
      <c r="G169" s="19"/>
    </row>
    <row r="170" ht="22.5" customHeight="1">
      <c r="A170" s="22" t="b">
        <v>1</v>
      </c>
      <c r="B170" s="23">
        <v>166.0</v>
      </c>
      <c r="C170" s="24" t="s">
        <v>514</v>
      </c>
      <c r="D170" s="34" t="s">
        <v>515</v>
      </c>
      <c r="E170" s="26" t="s">
        <v>516</v>
      </c>
      <c r="F170" s="27">
        <v>4500.0</v>
      </c>
      <c r="G170" s="28"/>
    </row>
    <row r="171" ht="22.5" customHeight="1">
      <c r="A171" s="14" t="b">
        <v>1</v>
      </c>
      <c r="B171" s="15">
        <v>167.0</v>
      </c>
      <c r="C171" s="16" t="s">
        <v>517</v>
      </c>
      <c r="D171" s="32" t="s">
        <v>518</v>
      </c>
      <c r="E171" s="18" t="s">
        <v>519</v>
      </c>
      <c r="F171" s="16">
        <v>300.0</v>
      </c>
      <c r="G171" s="19"/>
    </row>
    <row r="172" ht="22.5" customHeight="1">
      <c r="A172" s="22" t="b">
        <v>0</v>
      </c>
      <c r="B172" s="23">
        <v>168.0</v>
      </c>
      <c r="C172" s="24" t="s">
        <v>520</v>
      </c>
      <c r="D172" s="34" t="s">
        <v>521</v>
      </c>
      <c r="E172" s="26" t="s">
        <v>522</v>
      </c>
      <c r="F172" s="27">
        <v>1000.0</v>
      </c>
      <c r="G172" s="28"/>
    </row>
    <row r="173" ht="22.5" customHeight="1">
      <c r="A173" s="14" t="b">
        <v>1</v>
      </c>
      <c r="B173" s="15">
        <v>169.0</v>
      </c>
      <c r="C173" s="16" t="s">
        <v>523</v>
      </c>
      <c r="D173" s="32" t="s">
        <v>524</v>
      </c>
      <c r="E173" s="18" t="s">
        <v>525</v>
      </c>
      <c r="F173" s="30">
        <v>2500.0</v>
      </c>
      <c r="G173" s="19"/>
    </row>
    <row r="174" ht="22.5" customHeight="1">
      <c r="A174" s="22" t="b">
        <v>1</v>
      </c>
      <c r="B174" s="23">
        <v>170.0</v>
      </c>
      <c r="C174" s="24" t="s">
        <v>526</v>
      </c>
      <c r="D174" s="34" t="s">
        <v>527</v>
      </c>
      <c r="E174" s="26" t="s">
        <v>528</v>
      </c>
      <c r="F174" s="27">
        <v>5000.0</v>
      </c>
      <c r="G174" s="28"/>
    </row>
    <row r="175" ht="22.5" customHeight="1">
      <c r="A175" s="14" t="b">
        <v>1</v>
      </c>
      <c r="B175" s="15">
        <v>171.0</v>
      </c>
      <c r="C175" s="16" t="s">
        <v>529</v>
      </c>
      <c r="D175" s="32" t="s">
        <v>530</v>
      </c>
      <c r="E175" s="18" t="s">
        <v>531</v>
      </c>
      <c r="F175" s="30">
        <v>1500.0</v>
      </c>
      <c r="G175" s="19"/>
    </row>
    <row r="176" ht="22.5" customHeight="1">
      <c r="A176" s="22" t="b">
        <v>1</v>
      </c>
      <c r="B176" s="23">
        <v>172.0</v>
      </c>
      <c r="C176" s="24" t="s">
        <v>532</v>
      </c>
      <c r="D176" s="34" t="s">
        <v>533</v>
      </c>
      <c r="E176" s="26" t="s">
        <v>534</v>
      </c>
      <c r="F176" s="27">
        <v>2000.0</v>
      </c>
      <c r="G176" s="28"/>
    </row>
    <row r="177" ht="22.5" customHeight="1">
      <c r="A177" s="14" t="b">
        <v>1</v>
      </c>
      <c r="B177" s="15">
        <v>173.0</v>
      </c>
      <c r="C177" s="16" t="s">
        <v>535</v>
      </c>
      <c r="D177" s="32" t="s">
        <v>536</v>
      </c>
      <c r="E177" s="18" t="s">
        <v>537</v>
      </c>
      <c r="F177" s="16">
        <v>700.0</v>
      </c>
      <c r="G177" s="19"/>
    </row>
    <row r="178" ht="22.5" customHeight="1">
      <c r="A178" s="22" t="b">
        <v>0</v>
      </c>
      <c r="B178" s="23">
        <v>174.0</v>
      </c>
      <c r="C178" s="24" t="s">
        <v>538</v>
      </c>
      <c r="D178" s="34" t="s">
        <v>539</v>
      </c>
      <c r="E178" s="26" t="s">
        <v>540</v>
      </c>
      <c r="F178" s="27">
        <v>3500.0</v>
      </c>
      <c r="G178" s="28"/>
    </row>
    <row r="179" ht="22.5" customHeight="1">
      <c r="A179" s="14" t="b">
        <v>1</v>
      </c>
      <c r="B179" s="15">
        <v>175.0</v>
      </c>
      <c r="C179" s="16" t="s">
        <v>541</v>
      </c>
      <c r="D179" s="32" t="s">
        <v>542</v>
      </c>
      <c r="E179" s="18" t="s">
        <v>543</v>
      </c>
      <c r="F179" s="30">
        <v>1000.0</v>
      </c>
      <c r="G179" s="19"/>
    </row>
    <row r="180" ht="22.5" customHeight="1">
      <c r="A180" s="22" t="b">
        <v>1</v>
      </c>
      <c r="B180" s="23">
        <v>176.0</v>
      </c>
      <c r="C180" s="24" t="s">
        <v>544</v>
      </c>
      <c r="D180" s="34" t="s">
        <v>545</v>
      </c>
      <c r="E180" s="26" t="s">
        <v>546</v>
      </c>
      <c r="F180" s="27">
        <v>2200.0</v>
      </c>
      <c r="G180" s="28"/>
    </row>
    <row r="181" ht="22.5" customHeight="1">
      <c r="A181" s="14" t="b">
        <v>0</v>
      </c>
      <c r="B181" s="15">
        <v>177.0</v>
      </c>
      <c r="C181" s="16" t="s">
        <v>547</v>
      </c>
      <c r="D181" s="32" t="s">
        <v>548</v>
      </c>
      <c r="E181" s="18" t="s">
        <v>549</v>
      </c>
      <c r="F181" s="16">
        <v>400.0</v>
      </c>
      <c r="G181" s="19"/>
    </row>
    <row r="182" ht="22.5" customHeight="1">
      <c r="A182" s="22" t="b">
        <v>1</v>
      </c>
      <c r="B182" s="23">
        <v>178.0</v>
      </c>
      <c r="C182" s="24" t="s">
        <v>550</v>
      </c>
      <c r="D182" s="34" t="s">
        <v>551</v>
      </c>
      <c r="E182" s="26" t="s">
        <v>552</v>
      </c>
      <c r="F182" s="27">
        <v>1200.0</v>
      </c>
      <c r="G182" s="28"/>
    </row>
    <row r="183" ht="22.5" customHeight="1">
      <c r="A183" s="14" t="b">
        <v>0</v>
      </c>
      <c r="B183" s="15">
        <v>179.0</v>
      </c>
      <c r="C183" s="16" t="s">
        <v>553</v>
      </c>
      <c r="D183" s="32" t="s">
        <v>554</v>
      </c>
      <c r="E183" s="18" t="s">
        <v>555</v>
      </c>
      <c r="F183" s="30">
        <v>4000.0</v>
      </c>
      <c r="G183" s="19"/>
    </row>
    <row r="184" ht="22.5" customHeight="1">
      <c r="A184" s="22" t="b">
        <v>1</v>
      </c>
      <c r="B184" s="23">
        <v>180.0</v>
      </c>
      <c r="C184" s="24" t="s">
        <v>556</v>
      </c>
      <c r="D184" s="34" t="s">
        <v>557</v>
      </c>
      <c r="E184" s="26" t="s">
        <v>558</v>
      </c>
      <c r="F184" s="27">
        <v>1500.0</v>
      </c>
      <c r="G184" s="28"/>
    </row>
    <row r="185" ht="22.5" customHeight="1">
      <c r="A185" s="14" t="b">
        <v>1</v>
      </c>
      <c r="B185" s="15">
        <v>181.0</v>
      </c>
      <c r="C185" s="16" t="s">
        <v>559</v>
      </c>
      <c r="D185" s="32" t="s">
        <v>560</v>
      </c>
      <c r="E185" s="18" t="s">
        <v>561</v>
      </c>
      <c r="F185" s="30">
        <v>2500.0</v>
      </c>
      <c r="G185" s="19"/>
    </row>
    <row r="186" ht="22.5" customHeight="1">
      <c r="A186" s="22" t="b">
        <v>1</v>
      </c>
      <c r="B186" s="23">
        <v>182.0</v>
      </c>
      <c r="C186" s="24" t="s">
        <v>562</v>
      </c>
      <c r="D186" s="34" t="s">
        <v>563</v>
      </c>
      <c r="E186" s="26" t="s">
        <v>564</v>
      </c>
      <c r="F186" s="27">
        <v>5000.0</v>
      </c>
      <c r="G186" s="28"/>
    </row>
    <row r="187" ht="22.5" customHeight="1">
      <c r="A187" s="14" t="b">
        <v>0</v>
      </c>
      <c r="B187" s="15">
        <v>183.0</v>
      </c>
      <c r="C187" s="16" t="s">
        <v>565</v>
      </c>
      <c r="D187" s="32" t="s">
        <v>566</v>
      </c>
      <c r="E187" s="18" t="s">
        <v>567</v>
      </c>
      <c r="F187" s="16">
        <v>800.0</v>
      </c>
      <c r="G187" s="19"/>
    </row>
    <row r="188" ht="22.5" customHeight="1">
      <c r="A188" s="22" t="b">
        <v>1</v>
      </c>
      <c r="B188" s="23">
        <v>184.0</v>
      </c>
      <c r="C188" s="24" t="s">
        <v>568</v>
      </c>
      <c r="D188" s="34" t="s">
        <v>569</v>
      </c>
      <c r="E188" s="26" t="s">
        <v>570</v>
      </c>
      <c r="F188" s="27">
        <v>1000.0</v>
      </c>
      <c r="G188" s="28"/>
    </row>
    <row r="189" ht="22.5" customHeight="1">
      <c r="A189" s="14" t="b">
        <v>1</v>
      </c>
      <c r="B189" s="15">
        <v>185.0</v>
      </c>
      <c r="C189" s="16" t="s">
        <v>571</v>
      </c>
      <c r="D189" s="32" t="s">
        <v>572</v>
      </c>
      <c r="E189" s="18" t="s">
        <v>573</v>
      </c>
      <c r="F189" s="30">
        <v>3000.0</v>
      </c>
      <c r="G189" s="19"/>
    </row>
    <row r="190" ht="22.5" customHeight="1">
      <c r="A190" s="22" t="b">
        <v>1</v>
      </c>
      <c r="B190" s="23">
        <v>186.0</v>
      </c>
      <c r="C190" s="24" t="s">
        <v>574</v>
      </c>
      <c r="D190" s="34" t="s">
        <v>575</v>
      </c>
      <c r="E190" s="26" t="s">
        <v>576</v>
      </c>
      <c r="F190" s="27">
        <v>1200.0</v>
      </c>
      <c r="G190" s="28"/>
    </row>
    <row r="191" ht="22.5" customHeight="1">
      <c r="A191" s="14" t="b">
        <v>1</v>
      </c>
      <c r="B191" s="15">
        <v>187.0</v>
      </c>
      <c r="C191" s="16" t="s">
        <v>577</v>
      </c>
      <c r="D191" s="32" t="s">
        <v>578</v>
      </c>
      <c r="E191" s="18" t="s">
        <v>579</v>
      </c>
      <c r="F191" s="30">
        <v>2000.0</v>
      </c>
      <c r="G191" s="19"/>
    </row>
    <row r="192" ht="22.5" customHeight="1">
      <c r="A192" s="22" t="b">
        <v>1</v>
      </c>
      <c r="B192" s="23">
        <v>188.0</v>
      </c>
      <c r="C192" s="24" t="s">
        <v>580</v>
      </c>
      <c r="D192" s="34" t="s">
        <v>581</v>
      </c>
      <c r="E192" s="26" t="s">
        <v>582</v>
      </c>
      <c r="F192" s="24">
        <v>600.0</v>
      </c>
      <c r="G192" s="28"/>
    </row>
    <row r="193" ht="22.5" customHeight="1">
      <c r="A193" s="14" t="b">
        <v>1</v>
      </c>
      <c r="B193" s="15">
        <v>189.0</v>
      </c>
      <c r="C193" s="16" t="s">
        <v>583</v>
      </c>
      <c r="D193" s="32" t="s">
        <v>584</v>
      </c>
      <c r="E193" s="18" t="s">
        <v>585</v>
      </c>
      <c r="F193" s="30">
        <v>4500.0</v>
      </c>
      <c r="G193" s="19"/>
    </row>
    <row r="194" ht="22.5" customHeight="1">
      <c r="A194" s="22" t="b">
        <v>0</v>
      </c>
      <c r="B194" s="23">
        <v>190.0</v>
      </c>
      <c r="C194" s="24" t="s">
        <v>586</v>
      </c>
      <c r="D194" s="34" t="s">
        <v>587</v>
      </c>
      <c r="E194" s="26" t="s">
        <v>588</v>
      </c>
      <c r="F194" s="27">
        <v>1000.0</v>
      </c>
      <c r="G194" s="28"/>
    </row>
    <row r="195" ht="22.5" customHeight="1">
      <c r="A195" s="14" t="b">
        <v>0</v>
      </c>
      <c r="B195" s="15">
        <v>191.0</v>
      </c>
      <c r="C195" s="16" t="s">
        <v>589</v>
      </c>
      <c r="D195" s="32" t="s">
        <v>590</v>
      </c>
      <c r="E195" s="18" t="s">
        <v>591</v>
      </c>
      <c r="F195" s="30">
        <v>2500.0</v>
      </c>
      <c r="G195" s="19"/>
    </row>
    <row r="196" ht="22.5" customHeight="1">
      <c r="A196" s="22" t="b">
        <v>0</v>
      </c>
      <c r="B196" s="23">
        <v>192.0</v>
      </c>
      <c r="C196" s="24" t="s">
        <v>592</v>
      </c>
      <c r="D196" s="34" t="s">
        <v>593</v>
      </c>
      <c r="E196" s="26" t="s">
        <v>594</v>
      </c>
      <c r="F196" s="27">
        <v>5000.0</v>
      </c>
      <c r="G196" s="28"/>
    </row>
    <row r="197" ht="22.5" customHeight="1">
      <c r="A197" s="14" t="b">
        <v>1</v>
      </c>
      <c r="B197" s="15">
        <v>193.0</v>
      </c>
      <c r="C197" s="16" t="s">
        <v>595</v>
      </c>
      <c r="D197" s="32" t="s">
        <v>596</v>
      </c>
      <c r="E197" s="18" t="s">
        <v>597</v>
      </c>
      <c r="F197" s="30">
        <v>1500.0</v>
      </c>
      <c r="G197" s="19"/>
    </row>
    <row r="198" ht="22.5" customHeight="1">
      <c r="A198" s="22" t="b">
        <v>1</v>
      </c>
      <c r="B198" s="23">
        <v>194.0</v>
      </c>
      <c r="C198" s="24" t="s">
        <v>598</v>
      </c>
      <c r="D198" s="34" t="s">
        <v>599</v>
      </c>
      <c r="E198" s="26" t="s">
        <v>600</v>
      </c>
      <c r="F198" s="24">
        <v>700.0</v>
      </c>
      <c r="G198" s="28"/>
    </row>
    <row r="199" ht="22.5" customHeight="1">
      <c r="A199" s="14" t="b">
        <v>1</v>
      </c>
      <c r="B199" s="15">
        <v>195.0</v>
      </c>
      <c r="C199" s="16" t="s">
        <v>601</v>
      </c>
      <c r="D199" s="32" t="s">
        <v>602</v>
      </c>
      <c r="E199" s="18" t="s">
        <v>603</v>
      </c>
      <c r="F199" s="30">
        <v>3000.0</v>
      </c>
      <c r="G199" s="19"/>
    </row>
    <row r="200" ht="22.5" customHeight="1">
      <c r="A200" s="22" t="b">
        <v>0</v>
      </c>
      <c r="B200" s="23">
        <v>196.0</v>
      </c>
      <c r="C200" s="24" t="s">
        <v>604</v>
      </c>
      <c r="D200" s="34" t="s">
        <v>605</v>
      </c>
      <c r="E200" s="26" t="s">
        <v>606</v>
      </c>
      <c r="F200" s="27">
        <v>1200.0</v>
      </c>
      <c r="G200" s="28"/>
    </row>
    <row r="201" ht="22.5" customHeight="1">
      <c r="A201" s="14" t="b">
        <v>1</v>
      </c>
      <c r="B201" s="15">
        <v>197.0</v>
      </c>
      <c r="C201" s="16" t="s">
        <v>607</v>
      </c>
      <c r="D201" s="32" t="s">
        <v>608</v>
      </c>
      <c r="E201" s="18" t="s">
        <v>609</v>
      </c>
      <c r="F201" s="30">
        <v>2000.0</v>
      </c>
      <c r="G201" s="19"/>
    </row>
    <row r="202" ht="22.5" customHeight="1">
      <c r="A202" s="22" t="b">
        <v>1</v>
      </c>
      <c r="B202" s="23">
        <v>198.0</v>
      </c>
      <c r="C202" s="24" t="s">
        <v>610</v>
      </c>
      <c r="D202" s="34" t="s">
        <v>611</v>
      </c>
      <c r="E202" s="26" t="s">
        <v>612</v>
      </c>
      <c r="F202" s="24">
        <v>900.0</v>
      </c>
      <c r="G202" s="28"/>
    </row>
    <row r="203" ht="22.5" customHeight="1">
      <c r="A203" s="14" t="b">
        <v>1</v>
      </c>
      <c r="B203" s="15">
        <v>199.0</v>
      </c>
      <c r="C203" s="16" t="s">
        <v>613</v>
      </c>
      <c r="D203" s="32" t="s">
        <v>614</v>
      </c>
      <c r="E203" s="18" t="s">
        <v>615</v>
      </c>
      <c r="F203" s="30">
        <v>4000.0</v>
      </c>
      <c r="G203" s="19"/>
    </row>
    <row r="204" ht="22.5" customHeight="1">
      <c r="A204" s="22" t="b">
        <v>1</v>
      </c>
      <c r="B204" s="23">
        <v>200.0</v>
      </c>
      <c r="C204" s="24" t="s">
        <v>616</v>
      </c>
      <c r="D204" s="34" t="s">
        <v>617</v>
      </c>
      <c r="E204" s="26" t="s">
        <v>618</v>
      </c>
      <c r="F204" s="24">
        <v>500.0</v>
      </c>
      <c r="G204" s="28"/>
    </row>
  </sheetData>
  <autoFilter ref="$A$4:$G$145"/>
  <mergeCells count="3">
    <mergeCell ref="A1:J1"/>
    <mergeCell ref="A2:D2"/>
    <mergeCell ref="E2:F2"/>
  </mergeCells>
  <conditionalFormatting sqref="A4:H204 I52:M52">
    <cfRule type="cellIs" dxfId="0" priority="1" operator="equal">
      <formula>"TRUE"</formula>
    </cfRule>
  </conditionalFormatting>
  <conditionalFormatting sqref="A4:H204 I52:M52">
    <cfRule type="cellIs" dxfId="1" priority="2" operator="equal">
      <formula>"FALSE"</formula>
    </cfRule>
  </conditionalFormatting>
  <dataValidations>
    <dataValidation allowBlank="1" showDropDown="1" sqref="E5:E204"/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  <hyperlink r:id="rId60" ref="D64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1"/>
    <hyperlink r:id="rId78" ref="D82"/>
    <hyperlink r:id="rId79" ref="D83"/>
    <hyperlink r:id="rId80" ref="D84"/>
    <hyperlink r:id="rId81" ref="D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08"/>
    <hyperlink r:id="rId105" ref="D109"/>
    <hyperlink r:id="rId106" ref="D110"/>
    <hyperlink r:id="rId107" ref="D111"/>
    <hyperlink r:id="rId108" ref="D112"/>
    <hyperlink r:id="rId109" ref="D113"/>
    <hyperlink r:id="rId110" ref="D114"/>
    <hyperlink r:id="rId111" ref="D115"/>
    <hyperlink r:id="rId112" ref="D116"/>
    <hyperlink r:id="rId113" ref="D117"/>
    <hyperlink r:id="rId114" ref="D118"/>
    <hyperlink r:id="rId115" ref="D119"/>
    <hyperlink r:id="rId116" ref="D120"/>
    <hyperlink r:id="rId117" ref="D121"/>
    <hyperlink r:id="rId118" ref="D122"/>
    <hyperlink r:id="rId119" ref="D123"/>
    <hyperlink r:id="rId120" ref="D124"/>
    <hyperlink r:id="rId121" ref="D125"/>
    <hyperlink r:id="rId122" ref="D126"/>
    <hyperlink r:id="rId123" ref="D127"/>
    <hyperlink r:id="rId124" ref="D128"/>
    <hyperlink r:id="rId125" ref="D129"/>
    <hyperlink r:id="rId126" ref="D130"/>
    <hyperlink r:id="rId127" ref="D131"/>
    <hyperlink r:id="rId128" ref="D132"/>
    <hyperlink r:id="rId129" ref="D133"/>
    <hyperlink r:id="rId130" ref="D134"/>
    <hyperlink r:id="rId131" ref="D135"/>
    <hyperlink r:id="rId132" ref="D136"/>
    <hyperlink r:id="rId133" ref="D137"/>
    <hyperlink r:id="rId134" ref="D138"/>
    <hyperlink r:id="rId135" ref="D139"/>
    <hyperlink r:id="rId136" ref="D140"/>
    <hyperlink r:id="rId137" ref="D141"/>
    <hyperlink r:id="rId138" ref="D142"/>
    <hyperlink r:id="rId139" ref="D143"/>
    <hyperlink r:id="rId140" ref="D144"/>
    <hyperlink r:id="rId141" ref="D145"/>
    <hyperlink r:id="rId142" ref="D146"/>
    <hyperlink r:id="rId143" ref="D147"/>
    <hyperlink r:id="rId144" ref="D148"/>
    <hyperlink r:id="rId145" ref="D149"/>
    <hyperlink r:id="rId146" ref="D150"/>
    <hyperlink r:id="rId147" ref="D151"/>
    <hyperlink r:id="rId148" ref="D152"/>
    <hyperlink r:id="rId149" ref="D153"/>
    <hyperlink r:id="rId150" ref="D154"/>
    <hyperlink r:id="rId151" ref="D155"/>
    <hyperlink r:id="rId152" ref="D156"/>
    <hyperlink r:id="rId153" ref="D157"/>
    <hyperlink r:id="rId154" ref="D158"/>
    <hyperlink r:id="rId155" ref="D159"/>
    <hyperlink r:id="rId156" ref="D160"/>
    <hyperlink r:id="rId157" ref="D161"/>
    <hyperlink r:id="rId158" ref="D162"/>
    <hyperlink r:id="rId159" ref="D163"/>
    <hyperlink r:id="rId160" ref="D164"/>
    <hyperlink r:id="rId161" ref="D165"/>
    <hyperlink r:id="rId162" ref="D166"/>
    <hyperlink r:id="rId163" ref="D167"/>
    <hyperlink r:id="rId164" ref="D168"/>
    <hyperlink r:id="rId165" ref="D169"/>
    <hyperlink r:id="rId166" ref="D170"/>
    <hyperlink r:id="rId167" ref="D171"/>
    <hyperlink r:id="rId168" ref="D172"/>
    <hyperlink r:id="rId169" ref="D173"/>
    <hyperlink r:id="rId170" ref="D174"/>
    <hyperlink r:id="rId171" ref="D175"/>
    <hyperlink r:id="rId172" ref="D176"/>
    <hyperlink r:id="rId173" ref="D177"/>
    <hyperlink r:id="rId174" ref="D178"/>
    <hyperlink r:id="rId175" ref="D179"/>
    <hyperlink r:id="rId176" ref="D180"/>
    <hyperlink r:id="rId177" ref="D181"/>
    <hyperlink r:id="rId178" ref="D182"/>
    <hyperlink r:id="rId179" ref="D183"/>
    <hyperlink r:id="rId180" ref="D184"/>
    <hyperlink r:id="rId181" ref="D185"/>
    <hyperlink r:id="rId182" ref="D186"/>
    <hyperlink r:id="rId183" ref="D187"/>
    <hyperlink r:id="rId184" ref="D188"/>
    <hyperlink r:id="rId185" ref="D189"/>
    <hyperlink r:id="rId186" ref="D190"/>
    <hyperlink r:id="rId187" ref="D191"/>
    <hyperlink r:id="rId188" ref="D192"/>
    <hyperlink r:id="rId189" ref="D193"/>
    <hyperlink r:id="rId190" ref="D194"/>
    <hyperlink r:id="rId191" ref="D195"/>
    <hyperlink r:id="rId192" ref="D196"/>
    <hyperlink r:id="rId193" ref="D197"/>
    <hyperlink r:id="rId194" ref="D198"/>
    <hyperlink r:id="rId195" ref="D199"/>
    <hyperlink r:id="rId196" ref="D200"/>
    <hyperlink r:id="rId197" ref="D201"/>
    <hyperlink r:id="rId198" ref="D202"/>
    <hyperlink r:id="rId199" ref="D203"/>
    <hyperlink r:id="rId200" ref="D204"/>
  </hyperlinks>
  <drawing r:id="rId201"/>
  <tableParts count="3">
    <tablePart r:id="rId205"/>
    <tablePart r:id="rId206"/>
    <tablePart r:id="rId207"/>
  </tableParts>
</worksheet>
</file>